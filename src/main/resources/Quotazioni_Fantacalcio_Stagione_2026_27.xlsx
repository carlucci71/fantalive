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\"/>
    </mc:Choice>
  </mc:AlternateContent>
  <xr:revisionPtr revIDLastSave="0" documentId="13_ncr:1_{52B1490B-0A95-4484-8897-1EEB8843D42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Quotazioni calciatori" sheetId="7" r:id="rId1"/>
    <sheet name="Leghe Fantacalcio" sheetId="1" r:id="rId2"/>
    <sheet name="Foglio1" sheetId="8" r:id="rId3"/>
  </sheets>
  <definedNames>
    <definedName name="_xlnm._FilterDatabase" localSheetId="2" hidden="1">Foglio1!$A$1:$F$198</definedName>
    <definedName name="_xlnm._FilterDatabase" localSheetId="1" hidden="1">'Leghe Fantacalcio'!$A$1:$J$535</definedName>
    <definedName name="_xlnm._FilterDatabase" localSheetId="0" hidden="1">'Quotazioni calciatori'!$A$1:$N$570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8" i="8" l="1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D198" i="8"/>
  <c r="E198" i="8" s="1"/>
  <c r="F198" i="8" s="1"/>
  <c r="D197" i="8"/>
  <c r="E197" i="8" s="1"/>
  <c r="F197" i="8" s="1"/>
  <c r="D196" i="8"/>
  <c r="E196" i="8" s="1"/>
  <c r="F196" i="8" s="1"/>
  <c r="D195" i="8"/>
  <c r="E195" i="8" s="1"/>
  <c r="F195" i="8" s="1"/>
  <c r="D194" i="8"/>
  <c r="E194" i="8" s="1"/>
  <c r="F194" i="8" s="1"/>
  <c r="D193" i="8"/>
  <c r="E193" i="8" s="1"/>
  <c r="F193" i="8" s="1"/>
  <c r="D192" i="8"/>
  <c r="E192" i="8" s="1"/>
  <c r="F192" i="8" s="1"/>
  <c r="D191" i="8"/>
  <c r="E191" i="8" s="1"/>
  <c r="F191" i="8" s="1"/>
  <c r="D190" i="8"/>
  <c r="E190" i="8" s="1"/>
  <c r="F190" i="8" s="1"/>
  <c r="D189" i="8"/>
  <c r="E189" i="8" s="1"/>
  <c r="F189" i="8" s="1"/>
  <c r="D188" i="8"/>
  <c r="E188" i="8" s="1"/>
  <c r="F188" i="8" s="1"/>
  <c r="D187" i="8"/>
  <c r="E187" i="8" s="1"/>
  <c r="F187" i="8" s="1"/>
  <c r="D186" i="8"/>
  <c r="E186" i="8" s="1"/>
  <c r="F186" i="8" s="1"/>
  <c r="D185" i="8"/>
  <c r="E185" i="8" s="1"/>
  <c r="F185" i="8" s="1"/>
  <c r="D184" i="8"/>
  <c r="E184" i="8" s="1"/>
  <c r="F184" i="8" s="1"/>
  <c r="D183" i="8"/>
  <c r="E183" i="8" s="1"/>
  <c r="F183" i="8" s="1"/>
  <c r="D182" i="8"/>
  <c r="E182" i="8" s="1"/>
  <c r="F182" i="8" s="1"/>
  <c r="D181" i="8"/>
  <c r="E181" i="8" s="1"/>
  <c r="F181" i="8" s="1"/>
  <c r="D180" i="8"/>
  <c r="E180" i="8" s="1"/>
  <c r="F180" i="8" s="1"/>
  <c r="D179" i="8"/>
  <c r="E179" i="8" s="1"/>
  <c r="F179" i="8" s="1"/>
  <c r="D178" i="8"/>
  <c r="E178" i="8" s="1"/>
  <c r="F178" i="8" s="1"/>
  <c r="D177" i="8"/>
  <c r="E177" i="8" s="1"/>
  <c r="F177" i="8" s="1"/>
  <c r="D176" i="8"/>
  <c r="E176" i="8" s="1"/>
  <c r="F176" i="8" s="1"/>
  <c r="D175" i="8"/>
  <c r="E175" i="8" s="1"/>
  <c r="F175" i="8" s="1"/>
  <c r="D174" i="8"/>
  <c r="E174" i="8" s="1"/>
  <c r="F174" i="8" s="1"/>
  <c r="D173" i="8"/>
  <c r="E173" i="8" s="1"/>
  <c r="F173" i="8" s="1"/>
  <c r="D172" i="8"/>
  <c r="E172" i="8" s="1"/>
  <c r="F172" i="8" s="1"/>
  <c r="D171" i="8"/>
  <c r="E171" i="8" s="1"/>
  <c r="F171" i="8" s="1"/>
  <c r="D170" i="8"/>
  <c r="E170" i="8" s="1"/>
  <c r="F170" i="8" s="1"/>
  <c r="D169" i="8"/>
  <c r="E169" i="8" s="1"/>
  <c r="F169" i="8" s="1"/>
  <c r="D168" i="8"/>
  <c r="E168" i="8" s="1"/>
  <c r="F168" i="8" s="1"/>
  <c r="D167" i="8"/>
  <c r="E167" i="8" s="1"/>
  <c r="F167" i="8" s="1"/>
  <c r="D166" i="8"/>
  <c r="E166" i="8" s="1"/>
  <c r="F166" i="8" s="1"/>
  <c r="D165" i="8"/>
  <c r="E165" i="8" s="1"/>
  <c r="F165" i="8" s="1"/>
  <c r="D164" i="8"/>
  <c r="E164" i="8" s="1"/>
  <c r="F164" i="8" s="1"/>
  <c r="D163" i="8"/>
  <c r="E163" i="8" s="1"/>
  <c r="F163" i="8" s="1"/>
  <c r="D162" i="8"/>
  <c r="E162" i="8" s="1"/>
  <c r="F162" i="8" s="1"/>
  <c r="D161" i="8"/>
  <c r="E161" i="8" s="1"/>
  <c r="F161" i="8" s="1"/>
  <c r="D160" i="8"/>
  <c r="E160" i="8" s="1"/>
  <c r="F160" i="8" s="1"/>
  <c r="D159" i="8"/>
  <c r="E159" i="8" s="1"/>
  <c r="F159" i="8" s="1"/>
  <c r="D158" i="8"/>
  <c r="E158" i="8" s="1"/>
  <c r="F158" i="8" s="1"/>
  <c r="D157" i="8"/>
  <c r="E157" i="8" s="1"/>
  <c r="F157" i="8" s="1"/>
  <c r="D156" i="8"/>
  <c r="E156" i="8" s="1"/>
  <c r="F156" i="8" s="1"/>
  <c r="D155" i="8"/>
  <c r="E155" i="8" s="1"/>
  <c r="F155" i="8" s="1"/>
  <c r="D154" i="8"/>
  <c r="E154" i="8" s="1"/>
  <c r="F154" i="8" s="1"/>
  <c r="D153" i="8"/>
  <c r="E153" i="8" s="1"/>
  <c r="F153" i="8" s="1"/>
  <c r="D152" i="8"/>
  <c r="E152" i="8" s="1"/>
  <c r="F152" i="8" s="1"/>
  <c r="D151" i="8"/>
  <c r="E151" i="8" s="1"/>
  <c r="F151" i="8" s="1"/>
  <c r="D150" i="8"/>
  <c r="E150" i="8" s="1"/>
  <c r="F150" i="8" s="1"/>
  <c r="D149" i="8"/>
  <c r="E149" i="8" s="1"/>
  <c r="F149" i="8" s="1"/>
  <c r="D148" i="8"/>
  <c r="E148" i="8" s="1"/>
  <c r="F148" i="8" s="1"/>
  <c r="D147" i="8"/>
  <c r="E147" i="8" s="1"/>
  <c r="F147" i="8" s="1"/>
  <c r="D146" i="8"/>
  <c r="E146" i="8" s="1"/>
  <c r="F146" i="8" s="1"/>
  <c r="D145" i="8"/>
  <c r="E145" i="8" s="1"/>
  <c r="F145" i="8" s="1"/>
  <c r="D144" i="8"/>
  <c r="E144" i="8" s="1"/>
  <c r="F144" i="8" s="1"/>
  <c r="D143" i="8"/>
  <c r="E143" i="8" s="1"/>
  <c r="F143" i="8" s="1"/>
  <c r="D142" i="8"/>
  <c r="E142" i="8" s="1"/>
  <c r="F142" i="8" s="1"/>
  <c r="D141" i="8"/>
  <c r="E141" i="8" s="1"/>
  <c r="F141" i="8" s="1"/>
  <c r="D140" i="8"/>
  <c r="E140" i="8" s="1"/>
  <c r="F140" i="8" s="1"/>
  <c r="D139" i="8"/>
  <c r="E139" i="8" s="1"/>
  <c r="F139" i="8" s="1"/>
  <c r="D138" i="8"/>
  <c r="E138" i="8" s="1"/>
  <c r="F138" i="8" s="1"/>
  <c r="D137" i="8"/>
  <c r="E137" i="8" s="1"/>
  <c r="F137" i="8" s="1"/>
  <c r="D136" i="8"/>
  <c r="E136" i="8" s="1"/>
  <c r="F136" i="8" s="1"/>
  <c r="D135" i="8"/>
  <c r="E135" i="8" s="1"/>
  <c r="F135" i="8" s="1"/>
  <c r="D134" i="8"/>
  <c r="E134" i="8" s="1"/>
  <c r="F134" i="8" s="1"/>
  <c r="D133" i="8"/>
  <c r="E133" i="8" s="1"/>
  <c r="F133" i="8" s="1"/>
  <c r="D132" i="8"/>
  <c r="E132" i="8" s="1"/>
  <c r="F132" i="8" s="1"/>
  <c r="D131" i="8"/>
  <c r="E131" i="8" s="1"/>
  <c r="F131" i="8" s="1"/>
  <c r="D130" i="8"/>
  <c r="E130" i="8" s="1"/>
  <c r="F130" i="8" s="1"/>
  <c r="D129" i="8"/>
  <c r="E129" i="8" s="1"/>
  <c r="F129" i="8" s="1"/>
  <c r="D128" i="8"/>
  <c r="E128" i="8" s="1"/>
  <c r="F128" i="8" s="1"/>
  <c r="D127" i="8"/>
  <c r="E127" i="8" s="1"/>
  <c r="F127" i="8" s="1"/>
  <c r="D126" i="8"/>
  <c r="E126" i="8" s="1"/>
  <c r="F126" i="8" s="1"/>
  <c r="D125" i="8"/>
  <c r="E125" i="8" s="1"/>
  <c r="F125" i="8" s="1"/>
  <c r="D124" i="8"/>
  <c r="E124" i="8" s="1"/>
  <c r="F124" i="8" s="1"/>
  <c r="D123" i="8"/>
  <c r="E123" i="8" s="1"/>
  <c r="F123" i="8" s="1"/>
  <c r="D122" i="8"/>
  <c r="E122" i="8" s="1"/>
  <c r="F122" i="8" s="1"/>
  <c r="D121" i="8"/>
  <c r="E121" i="8" s="1"/>
  <c r="F121" i="8" s="1"/>
  <c r="D120" i="8"/>
  <c r="E120" i="8" s="1"/>
  <c r="F120" i="8" s="1"/>
  <c r="D119" i="8"/>
  <c r="E119" i="8" s="1"/>
  <c r="F119" i="8" s="1"/>
  <c r="D118" i="8"/>
  <c r="E118" i="8" s="1"/>
  <c r="F118" i="8" s="1"/>
  <c r="D117" i="8"/>
  <c r="E117" i="8" s="1"/>
  <c r="F117" i="8" s="1"/>
  <c r="D116" i="8"/>
  <c r="E116" i="8" s="1"/>
  <c r="F116" i="8" s="1"/>
  <c r="D115" i="8"/>
  <c r="E115" i="8" s="1"/>
  <c r="F115" i="8" s="1"/>
  <c r="D114" i="8"/>
  <c r="E114" i="8" s="1"/>
  <c r="F114" i="8" s="1"/>
  <c r="D113" i="8"/>
  <c r="E113" i="8" s="1"/>
  <c r="F113" i="8" s="1"/>
  <c r="D112" i="8"/>
  <c r="E112" i="8" s="1"/>
  <c r="F112" i="8" s="1"/>
  <c r="D111" i="8"/>
  <c r="E111" i="8" s="1"/>
  <c r="F111" i="8" s="1"/>
  <c r="D110" i="8"/>
  <c r="E110" i="8" s="1"/>
  <c r="F110" i="8" s="1"/>
  <c r="D109" i="8"/>
  <c r="E109" i="8" s="1"/>
  <c r="F109" i="8" s="1"/>
  <c r="D108" i="8"/>
  <c r="E108" i="8" s="1"/>
  <c r="F108" i="8" s="1"/>
  <c r="D107" i="8"/>
  <c r="E107" i="8" s="1"/>
  <c r="F107" i="8" s="1"/>
  <c r="D106" i="8"/>
  <c r="E106" i="8" s="1"/>
  <c r="F106" i="8" s="1"/>
  <c r="D105" i="8"/>
  <c r="E105" i="8" s="1"/>
  <c r="F105" i="8" s="1"/>
  <c r="D104" i="8"/>
  <c r="E104" i="8" s="1"/>
  <c r="F104" i="8" s="1"/>
  <c r="D103" i="8"/>
  <c r="E103" i="8" s="1"/>
  <c r="F103" i="8" s="1"/>
  <c r="D102" i="8"/>
  <c r="E102" i="8" s="1"/>
  <c r="F102" i="8" s="1"/>
  <c r="D101" i="8"/>
  <c r="E101" i="8" s="1"/>
  <c r="F101" i="8" s="1"/>
  <c r="D100" i="8"/>
  <c r="E100" i="8" s="1"/>
  <c r="F100" i="8" s="1"/>
  <c r="D99" i="8"/>
  <c r="E99" i="8" s="1"/>
  <c r="F99" i="8" s="1"/>
  <c r="D98" i="8"/>
  <c r="E98" i="8" s="1"/>
  <c r="F98" i="8" s="1"/>
  <c r="D97" i="8"/>
  <c r="E97" i="8" s="1"/>
  <c r="F97" i="8" s="1"/>
  <c r="D96" i="8"/>
  <c r="E96" i="8" s="1"/>
  <c r="F96" i="8" s="1"/>
  <c r="D95" i="8"/>
  <c r="E95" i="8" s="1"/>
  <c r="F95" i="8" s="1"/>
  <c r="D94" i="8"/>
  <c r="E94" i="8" s="1"/>
  <c r="F94" i="8" s="1"/>
  <c r="D93" i="8"/>
  <c r="E93" i="8" s="1"/>
  <c r="F93" i="8" s="1"/>
  <c r="D92" i="8"/>
  <c r="E92" i="8" s="1"/>
  <c r="F92" i="8" s="1"/>
  <c r="D91" i="8"/>
  <c r="E91" i="8" s="1"/>
  <c r="F91" i="8" s="1"/>
  <c r="D90" i="8"/>
  <c r="E90" i="8" s="1"/>
  <c r="F90" i="8" s="1"/>
  <c r="D89" i="8"/>
  <c r="E89" i="8" s="1"/>
  <c r="F89" i="8" s="1"/>
  <c r="D88" i="8"/>
  <c r="E88" i="8" s="1"/>
  <c r="F88" i="8" s="1"/>
  <c r="D87" i="8"/>
  <c r="E87" i="8" s="1"/>
  <c r="F87" i="8" s="1"/>
  <c r="D86" i="8"/>
  <c r="E86" i="8" s="1"/>
  <c r="F86" i="8" s="1"/>
  <c r="D85" i="8"/>
  <c r="E85" i="8" s="1"/>
  <c r="F85" i="8" s="1"/>
  <c r="D84" i="8"/>
  <c r="E84" i="8" s="1"/>
  <c r="F84" i="8" s="1"/>
  <c r="D83" i="8"/>
  <c r="E83" i="8" s="1"/>
  <c r="F83" i="8" s="1"/>
  <c r="D82" i="8"/>
  <c r="E82" i="8" s="1"/>
  <c r="F82" i="8" s="1"/>
  <c r="D81" i="8"/>
  <c r="E81" i="8" s="1"/>
  <c r="F81" i="8" s="1"/>
  <c r="D80" i="8"/>
  <c r="E80" i="8" s="1"/>
  <c r="F80" i="8" s="1"/>
  <c r="D79" i="8"/>
  <c r="E79" i="8" s="1"/>
  <c r="F79" i="8" s="1"/>
  <c r="D78" i="8"/>
  <c r="E78" i="8" s="1"/>
  <c r="F78" i="8" s="1"/>
  <c r="D77" i="8"/>
  <c r="E77" i="8" s="1"/>
  <c r="F77" i="8" s="1"/>
  <c r="D76" i="8"/>
  <c r="E76" i="8" s="1"/>
  <c r="F76" i="8" s="1"/>
  <c r="D75" i="8"/>
  <c r="E75" i="8" s="1"/>
  <c r="F75" i="8" s="1"/>
  <c r="D74" i="8"/>
  <c r="E74" i="8" s="1"/>
  <c r="F74" i="8" s="1"/>
  <c r="D73" i="8"/>
  <c r="E73" i="8" s="1"/>
  <c r="F73" i="8" s="1"/>
  <c r="D72" i="8"/>
  <c r="E72" i="8" s="1"/>
  <c r="F72" i="8" s="1"/>
  <c r="D71" i="8"/>
  <c r="E71" i="8" s="1"/>
  <c r="F71" i="8" s="1"/>
  <c r="D70" i="8"/>
  <c r="E70" i="8" s="1"/>
  <c r="F70" i="8" s="1"/>
  <c r="D69" i="8"/>
  <c r="E69" i="8" s="1"/>
  <c r="F69" i="8" s="1"/>
  <c r="D68" i="8"/>
  <c r="E68" i="8" s="1"/>
  <c r="F68" i="8" s="1"/>
  <c r="D67" i="8"/>
  <c r="E67" i="8" s="1"/>
  <c r="F67" i="8" s="1"/>
  <c r="D66" i="8"/>
  <c r="E66" i="8" s="1"/>
  <c r="F66" i="8" s="1"/>
  <c r="D65" i="8"/>
  <c r="E65" i="8" s="1"/>
  <c r="F65" i="8" s="1"/>
  <c r="D64" i="8"/>
  <c r="E64" i="8" s="1"/>
  <c r="F64" i="8" s="1"/>
  <c r="D63" i="8"/>
  <c r="E63" i="8" s="1"/>
  <c r="F63" i="8" s="1"/>
  <c r="D62" i="8"/>
  <c r="E62" i="8" s="1"/>
  <c r="F62" i="8" s="1"/>
  <c r="D61" i="8"/>
  <c r="E61" i="8" s="1"/>
  <c r="F61" i="8" s="1"/>
  <c r="D60" i="8"/>
  <c r="E60" i="8" s="1"/>
  <c r="F60" i="8" s="1"/>
  <c r="D59" i="8"/>
  <c r="E59" i="8" s="1"/>
  <c r="F59" i="8" s="1"/>
  <c r="D58" i="8"/>
  <c r="E58" i="8" s="1"/>
  <c r="F58" i="8" s="1"/>
  <c r="D57" i="8"/>
  <c r="E57" i="8" s="1"/>
  <c r="F57" i="8" s="1"/>
  <c r="D56" i="8"/>
  <c r="E56" i="8" s="1"/>
  <c r="F56" i="8" s="1"/>
  <c r="D55" i="8"/>
  <c r="E55" i="8" s="1"/>
  <c r="F55" i="8" s="1"/>
  <c r="D54" i="8"/>
  <c r="E54" i="8" s="1"/>
  <c r="F54" i="8" s="1"/>
  <c r="D53" i="8"/>
  <c r="E53" i="8" s="1"/>
  <c r="F53" i="8" s="1"/>
  <c r="D52" i="8"/>
  <c r="E52" i="8" s="1"/>
  <c r="F52" i="8" s="1"/>
  <c r="D51" i="8"/>
  <c r="E51" i="8" s="1"/>
  <c r="F51" i="8" s="1"/>
  <c r="D50" i="8"/>
  <c r="E50" i="8" s="1"/>
  <c r="F50" i="8" s="1"/>
  <c r="D49" i="8"/>
  <c r="E49" i="8" s="1"/>
  <c r="F49" i="8" s="1"/>
  <c r="D48" i="8"/>
  <c r="E48" i="8" s="1"/>
  <c r="F48" i="8" s="1"/>
  <c r="D47" i="8"/>
  <c r="E47" i="8" s="1"/>
  <c r="F47" i="8" s="1"/>
  <c r="D46" i="8"/>
  <c r="E46" i="8" s="1"/>
  <c r="F46" i="8" s="1"/>
  <c r="D45" i="8"/>
  <c r="E45" i="8" s="1"/>
  <c r="F45" i="8" s="1"/>
  <c r="D44" i="8"/>
  <c r="E44" i="8" s="1"/>
  <c r="F44" i="8" s="1"/>
  <c r="D43" i="8"/>
  <c r="E43" i="8" s="1"/>
  <c r="F43" i="8" s="1"/>
  <c r="D42" i="8"/>
  <c r="E42" i="8" s="1"/>
  <c r="F42" i="8" s="1"/>
  <c r="D41" i="8"/>
  <c r="E41" i="8" s="1"/>
  <c r="F41" i="8" s="1"/>
  <c r="D40" i="8"/>
  <c r="E40" i="8" s="1"/>
  <c r="F40" i="8" s="1"/>
  <c r="D39" i="8"/>
  <c r="E39" i="8" s="1"/>
  <c r="F39" i="8" s="1"/>
  <c r="D38" i="8"/>
  <c r="E38" i="8" s="1"/>
  <c r="F38" i="8" s="1"/>
  <c r="D37" i="8"/>
  <c r="E37" i="8" s="1"/>
  <c r="F37" i="8" s="1"/>
  <c r="D36" i="8"/>
  <c r="E36" i="8" s="1"/>
  <c r="F36" i="8" s="1"/>
  <c r="D35" i="8"/>
  <c r="E35" i="8" s="1"/>
  <c r="F35" i="8" s="1"/>
  <c r="D34" i="8"/>
  <c r="E34" i="8" s="1"/>
  <c r="F34" i="8" s="1"/>
  <c r="D33" i="8"/>
  <c r="E33" i="8" s="1"/>
  <c r="F33" i="8" s="1"/>
  <c r="D32" i="8"/>
  <c r="E32" i="8" s="1"/>
  <c r="F32" i="8" s="1"/>
  <c r="D31" i="8"/>
  <c r="E31" i="8" s="1"/>
  <c r="F31" i="8" s="1"/>
  <c r="D30" i="8"/>
  <c r="E30" i="8" s="1"/>
  <c r="F30" i="8" s="1"/>
  <c r="D29" i="8"/>
  <c r="E29" i="8" s="1"/>
  <c r="F29" i="8" s="1"/>
  <c r="D28" i="8"/>
  <c r="E28" i="8" s="1"/>
  <c r="F28" i="8" s="1"/>
  <c r="D27" i="8"/>
  <c r="E27" i="8" s="1"/>
  <c r="F27" i="8" s="1"/>
  <c r="D26" i="8"/>
  <c r="E26" i="8" s="1"/>
  <c r="F26" i="8" s="1"/>
  <c r="D25" i="8"/>
  <c r="E25" i="8" s="1"/>
  <c r="F25" i="8" s="1"/>
  <c r="D24" i="8"/>
  <c r="E24" i="8" s="1"/>
  <c r="F24" i="8" s="1"/>
  <c r="D23" i="8"/>
  <c r="E23" i="8" s="1"/>
  <c r="F23" i="8" s="1"/>
  <c r="D22" i="8"/>
  <c r="E22" i="8" s="1"/>
  <c r="F22" i="8" s="1"/>
  <c r="D21" i="8"/>
  <c r="E21" i="8" s="1"/>
  <c r="F21" i="8" s="1"/>
  <c r="D20" i="8"/>
  <c r="E20" i="8" s="1"/>
  <c r="F20" i="8" s="1"/>
  <c r="D19" i="8"/>
  <c r="E19" i="8" s="1"/>
  <c r="F19" i="8" s="1"/>
  <c r="D18" i="8"/>
  <c r="E18" i="8" s="1"/>
  <c r="F18" i="8" s="1"/>
  <c r="D17" i="8"/>
  <c r="E17" i="8" s="1"/>
  <c r="F17" i="8" s="1"/>
  <c r="D16" i="8"/>
  <c r="E16" i="8" s="1"/>
  <c r="F16" i="8" s="1"/>
  <c r="D15" i="8"/>
  <c r="E15" i="8" s="1"/>
  <c r="F15" i="8" s="1"/>
  <c r="D14" i="8"/>
  <c r="E14" i="8" s="1"/>
  <c r="F14" i="8" s="1"/>
  <c r="D13" i="8"/>
  <c r="E13" i="8" s="1"/>
  <c r="F13" i="8" s="1"/>
  <c r="D12" i="8"/>
  <c r="E12" i="8" s="1"/>
  <c r="F12" i="8" s="1"/>
  <c r="D11" i="8"/>
  <c r="E11" i="8" s="1"/>
  <c r="F11" i="8" s="1"/>
  <c r="D10" i="8"/>
  <c r="E10" i="8" s="1"/>
  <c r="F10" i="8" s="1"/>
  <c r="D9" i="8"/>
  <c r="E9" i="8" s="1"/>
  <c r="F9" i="8" s="1"/>
  <c r="D8" i="8"/>
  <c r="E8" i="8" s="1"/>
  <c r="F8" i="8" s="1"/>
  <c r="D7" i="8"/>
  <c r="E7" i="8" s="1"/>
  <c r="F7" i="8" s="1"/>
  <c r="D6" i="8"/>
  <c r="E6" i="8" s="1"/>
  <c r="F6" i="8" s="1"/>
  <c r="D5" i="8"/>
  <c r="E5" i="8" s="1"/>
  <c r="F5" i="8" s="1"/>
  <c r="D4" i="8"/>
  <c r="E4" i="8" s="1"/>
  <c r="F4" i="8" s="1"/>
  <c r="D3" i="8"/>
  <c r="E3" i="8" s="1"/>
  <c r="F3" i="8" s="1"/>
  <c r="D2" i="8"/>
  <c r="E2" i="8" s="1"/>
  <c r="F2" i="8" s="1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2" i="7"/>
  <c r="L2" i="7" l="1"/>
  <c r="L380" i="7"/>
  <c r="L12" i="7"/>
  <c r="L252" i="7"/>
  <c r="L364" i="7"/>
  <c r="L13" i="7"/>
  <c r="L29" i="7"/>
  <c r="L45" i="7"/>
  <c r="L61" i="7"/>
  <c r="L77" i="7"/>
  <c r="L93" i="7"/>
  <c r="L109" i="7"/>
  <c r="L125" i="7"/>
  <c r="L141" i="7"/>
  <c r="L157" i="7"/>
  <c r="L173" i="7"/>
  <c r="L189" i="7"/>
  <c r="L205" i="7"/>
  <c r="L221" i="7"/>
  <c r="L237" i="7"/>
  <c r="L253" i="7"/>
  <c r="L269" i="7"/>
  <c r="L285" i="7"/>
  <c r="L301" i="7"/>
  <c r="L317" i="7"/>
  <c r="L333" i="7"/>
  <c r="L349" i="7"/>
  <c r="L365" i="7"/>
  <c r="L381" i="7"/>
  <c r="L397" i="7"/>
  <c r="L413" i="7"/>
  <c r="L429" i="7"/>
  <c r="L445" i="7"/>
  <c r="L461" i="7"/>
  <c r="L477" i="7"/>
  <c r="L493" i="7"/>
  <c r="L509" i="7"/>
  <c r="L525" i="7"/>
  <c r="L541" i="7"/>
  <c r="L557" i="7"/>
  <c r="M4" i="7"/>
  <c r="M20" i="7"/>
  <c r="M36" i="7"/>
  <c r="M52" i="7"/>
  <c r="M68" i="7"/>
  <c r="M84" i="7"/>
  <c r="M100" i="7"/>
  <c r="M116" i="7"/>
  <c r="M132" i="7"/>
  <c r="M148" i="7"/>
  <c r="M164" i="7"/>
  <c r="M180" i="7"/>
  <c r="M196" i="7"/>
  <c r="M212" i="7"/>
  <c r="M228" i="7"/>
  <c r="M244" i="7"/>
  <c r="L14" i="7"/>
  <c r="L30" i="7"/>
  <c r="L46" i="7"/>
  <c r="L62" i="7"/>
  <c r="L78" i="7"/>
  <c r="L94" i="7"/>
  <c r="L31" i="7"/>
  <c r="L63" i="7"/>
  <c r="L111" i="7"/>
  <c r="L159" i="7"/>
  <c r="L271" i="7"/>
  <c r="L303" i="7"/>
  <c r="L335" i="7"/>
  <c r="L367" i="7"/>
  <c r="L399" i="7"/>
  <c r="L447" i="7"/>
  <c r="L479" i="7"/>
  <c r="L511" i="7"/>
  <c r="L543" i="7"/>
  <c r="M6" i="7"/>
  <c r="M54" i="7"/>
  <c r="M86" i="7"/>
  <c r="M102" i="7"/>
  <c r="M134" i="7"/>
  <c r="M150" i="7"/>
  <c r="M166" i="7"/>
  <c r="M182" i="7"/>
  <c r="M198" i="7"/>
  <c r="M214" i="7"/>
  <c r="M230" i="7"/>
  <c r="M262" i="7"/>
  <c r="M278" i="7"/>
  <c r="M294" i="7"/>
  <c r="M310" i="7"/>
  <c r="M326" i="7"/>
  <c r="M342" i="7"/>
  <c r="M358" i="7"/>
  <c r="M374" i="7"/>
  <c r="M390" i="7"/>
  <c r="M406" i="7"/>
  <c r="M422" i="7"/>
  <c r="M438" i="7"/>
  <c r="M454" i="7"/>
  <c r="M470" i="7"/>
  <c r="M486" i="7"/>
  <c r="M502" i="7"/>
  <c r="M518" i="7"/>
  <c r="M534" i="7"/>
  <c r="M550" i="7"/>
  <c r="M566" i="7"/>
  <c r="L15" i="7"/>
  <c r="L47" i="7"/>
  <c r="L79" i="7"/>
  <c r="L127" i="7"/>
  <c r="L239" i="7"/>
  <c r="L255" i="7"/>
  <c r="L287" i="7"/>
  <c r="L319" i="7"/>
  <c r="L351" i="7"/>
  <c r="L383" i="7"/>
  <c r="L415" i="7"/>
  <c r="L431" i="7"/>
  <c r="L463" i="7"/>
  <c r="L495" i="7"/>
  <c r="L527" i="7"/>
  <c r="L559" i="7"/>
  <c r="M22" i="7"/>
  <c r="M38" i="7"/>
  <c r="M70" i="7"/>
  <c r="M118" i="7"/>
  <c r="M246" i="7"/>
  <c r="L268" i="7"/>
  <c r="L175" i="7"/>
  <c r="L33" i="7"/>
  <c r="L97" i="7"/>
  <c r="L161" i="7"/>
  <c r="L241" i="7"/>
  <c r="L321" i="7"/>
  <c r="L369" i="7"/>
  <c r="L417" i="7"/>
  <c r="L465" i="7"/>
  <c r="L481" i="7"/>
  <c r="L497" i="7"/>
  <c r="L513" i="7"/>
  <c r="L529" i="7"/>
  <c r="L545" i="7"/>
  <c r="L561" i="7"/>
  <c r="M8" i="7"/>
  <c r="M24" i="7"/>
  <c r="M88" i="7"/>
  <c r="M104" i="7"/>
  <c r="M120" i="7"/>
  <c r="M136" i="7"/>
  <c r="M152" i="7"/>
  <c r="M168" i="7"/>
  <c r="M184" i="7"/>
  <c r="M200" i="7"/>
  <c r="M216" i="7"/>
  <c r="M232" i="7"/>
  <c r="M248" i="7"/>
  <c r="M264" i="7"/>
  <c r="M280" i="7"/>
  <c r="M296" i="7"/>
  <c r="M312" i="7"/>
  <c r="L92" i="7"/>
  <c r="L172" i="7"/>
  <c r="L236" i="7"/>
  <c r="L396" i="7"/>
  <c r="L223" i="7"/>
  <c r="L49" i="7"/>
  <c r="L113" i="7"/>
  <c r="L177" i="7"/>
  <c r="L305" i="7"/>
  <c r="M40" i="7"/>
  <c r="L18" i="7"/>
  <c r="L34" i="7"/>
  <c r="L50" i="7"/>
  <c r="L66" i="7"/>
  <c r="L82" i="7"/>
  <c r="L98" i="7"/>
  <c r="L114" i="7"/>
  <c r="L130" i="7"/>
  <c r="L146" i="7"/>
  <c r="L162" i="7"/>
  <c r="L178" i="7"/>
  <c r="L194" i="7"/>
  <c r="L210" i="7"/>
  <c r="L226" i="7"/>
  <c r="L242" i="7"/>
  <c r="L258" i="7"/>
  <c r="L274" i="7"/>
  <c r="L290" i="7"/>
  <c r="L306" i="7"/>
  <c r="L322" i="7"/>
  <c r="L338" i="7"/>
  <c r="L354" i="7"/>
  <c r="L370" i="7"/>
  <c r="L386" i="7"/>
  <c r="L402" i="7"/>
  <c r="L418" i="7"/>
  <c r="L434" i="7"/>
  <c r="L450" i="7"/>
  <c r="L466" i="7"/>
  <c r="L482" i="7"/>
  <c r="L498" i="7"/>
  <c r="L514" i="7"/>
  <c r="L530" i="7"/>
  <c r="L546" i="7"/>
  <c r="L562" i="7"/>
  <c r="M9" i="7"/>
  <c r="M25" i="7"/>
  <c r="M41" i="7"/>
  <c r="M57" i="7"/>
  <c r="M73" i="7"/>
  <c r="M89" i="7"/>
  <c r="M105" i="7"/>
  <c r="M121" i="7"/>
  <c r="M137" i="7"/>
  <c r="M153" i="7"/>
  <c r="M169" i="7"/>
  <c r="M185" i="7"/>
  <c r="M201" i="7"/>
  <c r="M217" i="7"/>
  <c r="M233" i="7"/>
  <c r="M249" i="7"/>
  <c r="M265" i="7"/>
  <c r="M281" i="7"/>
  <c r="M297" i="7"/>
  <c r="M313" i="7"/>
  <c r="M329" i="7"/>
  <c r="M345" i="7"/>
  <c r="M361" i="7"/>
  <c r="M377" i="7"/>
  <c r="M393" i="7"/>
  <c r="M409" i="7"/>
  <c r="M425" i="7"/>
  <c r="M441" i="7"/>
  <c r="M457" i="7"/>
  <c r="M473" i="7"/>
  <c r="M489" i="7"/>
  <c r="M505" i="7"/>
  <c r="M521" i="7"/>
  <c r="L284" i="7"/>
  <c r="L207" i="7"/>
  <c r="L65" i="7"/>
  <c r="L129" i="7"/>
  <c r="L193" i="7"/>
  <c r="L273" i="7"/>
  <c r="L353" i="7"/>
  <c r="L401" i="7"/>
  <c r="L449" i="7"/>
  <c r="M72" i="7"/>
  <c r="L3" i="7"/>
  <c r="L35" i="7"/>
  <c r="L51" i="7"/>
  <c r="L67" i="7"/>
  <c r="L83" i="7"/>
  <c r="L99" i="7"/>
  <c r="L115" i="7"/>
  <c r="L131" i="7"/>
  <c r="L147" i="7"/>
  <c r="L163" i="7"/>
  <c r="L179" i="7"/>
  <c r="L195" i="7"/>
  <c r="L211" i="7"/>
  <c r="L227" i="7"/>
  <c r="L243" i="7"/>
  <c r="L259" i="7"/>
  <c r="L275" i="7"/>
  <c r="L291" i="7"/>
  <c r="L307" i="7"/>
  <c r="L323" i="7"/>
  <c r="L339" i="7"/>
  <c r="L355" i="7"/>
  <c r="L371" i="7"/>
  <c r="L387" i="7"/>
  <c r="L403" i="7"/>
  <c r="L419" i="7"/>
  <c r="L435" i="7"/>
  <c r="L451" i="7"/>
  <c r="L467" i="7"/>
  <c r="L483" i="7"/>
  <c r="L499" i="7"/>
  <c r="L515" i="7"/>
  <c r="L531" i="7"/>
  <c r="L547" i="7"/>
  <c r="L563" i="7"/>
  <c r="M10" i="7"/>
  <c r="M26" i="7"/>
  <c r="M42" i="7"/>
  <c r="M58" i="7"/>
  <c r="M74" i="7"/>
  <c r="M90" i="7"/>
  <c r="M106" i="7"/>
  <c r="M122" i="7"/>
  <c r="M138" i="7"/>
  <c r="M154" i="7"/>
  <c r="M170" i="7"/>
  <c r="M186" i="7"/>
  <c r="M202" i="7"/>
  <c r="M218" i="7"/>
  <c r="M234" i="7"/>
  <c r="M250" i="7"/>
  <c r="M266" i="7"/>
  <c r="M282" i="7"/>
  <c r="M298" i="7"/>
  <c r="M314" i="7"/>
  <c r="M330" i="7"/>
  <c r="M346" i="7"/>
  <c r="M362" i="7"/>
  <c r="M378" i="7"/>
  <c r="M394" i="7"/>
  <c r="M410" i="7"/>
  <c r="M426" i="7"/>
  <c r="M442" i="7"/>
  <c r="M458" i="7"/>
  <c r="M474" i="7"/>
  <c r="M490" i="7"/>
  <c r="M506" i="7"/>
  <c r="L60" i="7"/>
  <c r="L140" i="7"/>
  <c r="L332" i="7"/>
  <c r="L143" i="7"/>
  <c r="L17" i="7"/>
  <c r="L81" i="7"/>
  <c r="L145" i="7"/>
  <c r="L209" i="7"/>
  <c r="L257" i="7"/>
  <c r="L337" i="7"/>
  <c r="L385" i="7"/>
  <c r="L433" i="7"/>
  <c r="M56" i="7"/>
  <c r="L19" i="7"/>
  <c r="L4" i="7"/>
  <c r="N4" i="7" s="1"/>
  <c r="O4" i="7" s="1"/>
  <c r="P4" i="7" s="1"/>
  <c r="L20" i="7"/>
  <c r="N20" i="7" s="1"/>
  <c r="O20" i="7" s="1"/>
  <c r="P20" i="7" s="1"/>
  <c r="L36" i="7"/>
  <c r="L52" i="7"/>
  <c r="N52" i="7" s="1"/>
  <c r="O52" i="7" s="1"/>
  <c r="P52" i="7" s="1"/>
  <c r="L68" i="7"/>
  <c r="N68" i="7" s="1"/>
  <c r="O68" i="7" s="1"/>
  <c r="P68" i="7" s="1"/>
  <c r="L84" i="7"/>
  <c r="L100" i="7"/>
  <c r="N100" i="7" s="1"/>
  <c r="O100" i="7" s="1"/>
  <c r="P100" i="7" s="1"/>
  <c r="L116" i="7"/>
  <c r="L132" i="7"/>
  <c r="L148" i="7"/>
  <c r="N148" i="7" s="1"/>
  <c r="O148" i="7" s="1"/>
  <c r="P148" i="7" s="1"/>
  <c r="L164" i="7"/>
  <c r="L180" i="7"/>
  <c r="N180" i="7" s="1"/>
  <c r="O180" i="7" s="1"/>
  <c r="P180" i="7" s="1"/>
  <c r="L196" i="7"/>
  <c r="N196" i="7" s="1"/>
  <c r="O196" i="7" s="1"/>
  <c r="P196" i="7" s="1"/>
  <c r="L212" i="7"/>
  <c r="N212" i="7" s="1"/>
  <c r="O212" i="7" s="1"/>
  <c r="P212" i="7" s="1"/>
  <c r="L228" i="7"/>
  <c r="N228" i="7" s="1"/>
  <c r="O228" i="7" s="1"/>
  <c r="P228" i="7" s="1"/>
  <c r="L244" i="7"/>
  <c r="N244" i="7" s="1"/>
  <c r="O244" i="7" s="1"/>
  <c r="P244" i="7" s="1"/>
  <c r="L260" i="7"/>
  <c r="L276" i="7"/>
  <c r="L292" i="7"/>
  <c r="L308" i="7"/>
  <c r="L324" i="7"/>
  <c r="L340" i="7"/>
  <c r="L356" i="7"/>
  <c r="L372" i="7"/>
  <c r="L388" i="7"/>
  <c r="L404" i="7"/>
  <c r="L420" i="7"/>
  <c r="L436" i="7"/>
  <c r="L452" i="7"/>
  <c r="L468" i="7"/>
  <c r="L484" i="7"/>
  <c r="L500" i="7"/>
  <c r="L516" i="7"/>
  <c r="L532" i="7"/>
  <c r="L95" i="7"/>
  <c r="L225" i="7"/>
  <c r="L261" i="7"/>
  <c r="L44" i="7"/>
  <c r="L124" i="7"/>
  <c r="L204" i="7"/>
  <c r="L348" i="7"/>
  <c r="L191" i="7"/>
  <c r="L289" i="7"/>
  <c r="L5" i="7"/>
  <c r="L21" i="7"/>
  <c r="L37" i="7"/>
  <c r="L53" i="7"/>
  <c r="L69" i="7"/>
  <c r="L85" i="7"/>
  <c r="L101" i="7"/>
  <c r="L117" i="7"/>
  <c r="L133" i="7"/>
  <c r="L149" i="7"/>
  <c r="L165" i="7"/>
  <c r="L181" i="7"/>
  <c r="L197" i="7"/>
  <c r="L213" i="7"/>
  <c r="L229" i="7"/>
  <c r="L245" i="7"/>
  <c r="L277" i="7"/>
  <c r="L293" i="7"/>
  <c r="L6" i="7"/>
  <c r="N6" i="7" s="1"/>
  <c r="O6" i="7" s="1"/>
  <c r="P6" i="7" s="1"/>
  <c r="L22" i="7"/>
  <c r="L38" i="7"/>
  <c r="N38" i="7" s="1"/>
  <c r="O38" i="7" s="1"/>
  <c r="P38" i="7" s="1"/>
  <c r="L54" i="7"/>
  <c r="N54" i="7" s="1"/>
  <c r="O54" i="7" s="1"/>
  <c r="P54" i="7" s="1"/>
  <c r="L70" i="7"/>
  <c r="N70" i="7" s="1"/>
  <c r="O70" i="7" s="1"/>
  <c r="P70" i="7" s="1"/>
  <c r="L86" i="7"/>
  <c r="L102" i="7"/>
  <c r="L118" i="7"/>
  <c r="L134" i="7"/>
  <c r="L150" i="7"/>
  <c r="L166" i="7"/>
  <c r="N166" i="7" s="1"/>
  <c r="O166" i="7" s="1"/>
  <c r="P166" i="7" s="1"/>
  <c r="L182" i="7"/>
  <c r="N182" i="7" s="1"/>
  <c r="O182" i="7" s="1"/>
  <c r="P182" i="7" s="1"/>
  <c r="L198" i="7"/>
  <c r="L214" i="7"/>
  <c r="N214" i="7" s="1"/>
  <c r="O214" i="7" s="1"/>
  <c r="P214" i="7" s="1"/>
  <c r="L230" i="7"/>
  <c r="L246" i="7"/>
  <c r="N246" i="7" s="1"/>
  <c r="O246" i="7" s="1"/>
  <c r="P246" i="7" s="1"/>
  <c r="L262" i="7"/>
  <c r="N262" i="7" s="1"/>
  <c r="O262" i="7" s="1"/>
  <c r="P262" i="7" s="1"/>
  <c r="L278" i="7"/>
  <c r="N278" i="7" s="1"/>
  <c r="O278" i="7" s="1"/>
  <c r="P278" i="7" s="1"/>
  <c r="L294" i="7"/>
  <c r="N294" i="7" s="1"/>
  <c r="O294" i="7" s="1"/>
  <c r="P294" i="7" s="1"/>
  <c r="L310" i="7"/>
  <c r="N310" i="7" s="1"/>
  <c r="O310" i="7" s="1"/>
  <c r="P310" i="7" s="1"/>
  <c r="L326" i="7"/>
  <c r="N326" i="7" s="1"/>
  <c r="O326" i="7" s="1"/>
  <c r="P326" i="7" s="1"/>
  <c r="L342" i="7"/>
  <c r="N342" i="7" s="1"/>
  <c r="O342" i="7" s="1"/>
  <c r="P342" i="7" s="1"/>
  <c r="L358" i="7"/>
  <c r="N358" i="7" s="1"/>
  <c r="O358" i="7" s="1"/>
  <c r="P358" i="7" s="1"/>
  <c r="L374" i="7"/>
  <c r="N374" i="7" s="1"/>
  <c r="O374" i="7" s="1"/>
  <c r="P374" i="7" s="1"/>
  <c r="L390" i="7"/>
  <c r="N390" i="7" s="1"/>
  <c r="O390" i="7" s="1"/>
  <c r="P390" i="7" s="1"/>
  <c r="L406" i="7"/>
  <c r="L422" i="7"/>
  <c r="N422" i="7" s="1"/>
  <c r="O422" i="7" s="1"/>
  <c r="P422" i="7" s="1"/>
  <c r="L438" i="7"/>
  <c r="N438" i="7" s="1"/>
  <c r="O438" i="7" s="1"/>
  <c r="P438" i="7" s="1"/>
  <c r="L454" i="7"/>
  <c r="N454" i="7" s="1"/>
  <c r="O454" i="7" s="1"/>
  <c r="P454" i="7" s="1"/>
  <c r="L470" i="7"/>
  <c r="N470" i="7" s="1"/>
  <c r="O470" i="7" s="1"/>
  <c r="P470" i="7" s="1"/>
  <c r="L486" i="7"/>
  <c r="N486" i="7" s="1"/>
  <c r="O486" i="7" s="1"/>
  <c r="P486" i="7" s="1"/>
  <c r="L502" i="7"/>
  <c r="N502" i="7" s="1"/>
  <c r="O502" i="7" s="1"/>
  <c r="P502" i="7" s="1"/>
  <c r="L518" i="7"/>
  <c r="N518" i="7" s="1"/>
  <c r="O518" i="7" s="1"/>
  <c r="P518" i="7" s="1"/>
  <c r="L534" i="7"/>
  <c r="N534" i="7" s="1"/>
  <c r="O534" i="7" s="1"/>
  <c r="P534" i="7" s="1"/>
  <c r="L550" i="7"/>
  <c r="N550" i="7" s="1"/>
  <c r="O550" i="7" s="1"/>
  <c r="P550" i="7" s="1"/>
  <c r="L39" i="7"/>
  <c r="L119" i="7"/>
  <c r="L199" i="7"/>
  <c r="L279" i="7"/>
  <c r="L375" i="7"/>
  <c r="L471" i="7"/>
  <c r="L519" i="7"/>
  <c r="L551" i="7"/>
  <c r="L567" i="7"/>
  <c r="M62" i="7"/>
  <c r="L28" i="7"/>
  <c r="L220" i="7"/>
  <c r="L311" i="7"/>
  <c r="L359" i="7"/>
  <c r="L423" i="7"/>
  <c r="M46" i="7"/>
  <c r="L8" i="7"/>
  <c r="L40" i="7"/>
  <c r="N40" i="7" s="1"/>
  <c r="O40" i="7" s="1"/>
  <c r="P40" i="7" s="1"/>
  <c r="L104" i="7"/>
  <c r="L344" i="7"/>
  <c r="L23" i="7"/>
  <c r="L55" i="7"/>
  <c r="L87" i="7"/>
  <c r="L135" i="7"/>
  <c r="L167" i="7"/>
  <c r="L215" i="7"/>
  <c r="L247" i="7"/>
  <c r="L295" i="7"/>
  <c r="L343" i="7"/>
  <c r="L407" i="7"/>
  <c r="L439" i="7"/>
  <c r="L487" i="7"/>
  <c r="L503" i="7"/>
  <c r="L535" i="7"/>
  <c r="M30" i="7"/>
  <c r="L24" i="7"/>
  <c r="L56" i="7"/>
  <c r="L72" i="7"/>
  <c r="L88" i="7"/>
  <c r="L120" i="7"/>
  <c r="L136" i="7"/>
  <c r="N136" i="7" s="1"/>
  <c r="O136" i="7" s="1"/>
  <c r="P136" i="7" s="1"/>
  <c r="L152" i="7"/>
  <c r="N152" i="7" s="1"/>
  <c r="O152" i="7" s="1"/>
  <c r="P152" i="7" s="1"/>
  <c r="L168" i="7"/>
  <c r="L184" i="7"/>
  <c r="N184" i="7" s="1"/>
  <c r="O184" i="7" s="1"/>
  <c r="P184" i="7" s="1"/>
  <c r="L200" i="7"/>
  <c r="L216" i="7"/>
  <c r="L232" i="7"/>
  <c r="L248" i="7"/>
  <c r="N248" i="7" s="1"/>
  <c r="O248" i="7" s="1"/>
  <c r="P248" i="7" s="1"/>
  <c r="L264" i="7"/>
  <c r="N264" i="7" s="1"/>
  <c r="O264" i="7" s="1"/>
  <c r="P264" i="7" s="1"/>
  <c r="L280" i="7"/>
  <c r="L296" i="7"/>
  <c r="L312" i="7"/>
  <c r="L328" i="7"/>
  <c r="L360" i="7"/>
  <c r="L376" i="7"/>
  <c r="L392" i="7"/>
  <c r="L408" i="7"/>
  <c r="L424" i="7"/>
  <c r="L440" i="7"/>
  <c r="L456" i="7"/>
  <c r="L472" i="7"/>
  <c r="L488" i="7"/>
  <c r="L504" i="7"/>
  <c r="L520" i="7"/>
  <c r="L536" i="7"/>
  <c r="L552" i="7"/>
  <c r="L568" i="7"/>
  <c r="M15" i="7"/>
  <c r="M31" i="7"/>
  <c r="M47" i="7"/>
  <c r="M63" i="7"/>
  <c r="M79" i="7"/>
  <c r="M95" i="7"/>
  <c r="M111" i="7"/>
  <c r="M127" i="7"/>
  <c r="M143" i="7"/>
  <c r="M159" i="7"/>
  <c r="M175" i="7"/>
  <c r="M191" i="7"/>
  <c r="M207" i="7"/>
  <c r="M223" i="7"/>
  <c r="M239" i="7"/>
  <c r="M255" i="7"/>
  <c r="M271" i="7"/>
  <c r="M287" i="7"/>
  <c r="M303" i="7"/>
  <c r="M319" i="7"/>
  <c r="M335" i="7"/>
  <c r="M351" i="7"/>
  <c r="M367" i="7"/>
  <c r="M383" i="7"/>
  <c r="M399" i="7"/>
  <c r="M415" i="7"/>
  <c r="L9" i="7"/>
  <c r="L25" i="7"/>
  <c r="L41" i="7"/>
  <c r="L57" i="7"/>
  <c r="L73" i="7"/>
  <c r="L89" i="7"/>
  <c r="L76" i="7"/>
  <c r="L156" i="7"/>
  <c r="L300" i="7"/>
  <c r="L7" i="7"/>
  <c r="L71" i="7"/>
  <c r="L103" i="7"/>
  <c r="L151" i="7"/>
  <c r="L183" i="7"/>
  <c r="L231" i="7"/>
  <c r="L263" i="7"/>
  <c r="L327" i="7"/>
  <c r="L391" i="7"/>
  <c r="L455" i="7"/>
  <c r="M14" i="7"/>
  <c r="L108" i="7"/>
  <c r="L188" i="7"/>
  <c r="L316" i="7"/>
  <c r="L11" i="7"/>
  <c r="L27" i="7"/>
  <c r="L43" i="7"/>
  <c r="L59" i="7"/>
  <c r="L75" i="7"/>
  <c r="L91" i="7"/>
  <c r="L107" i="7"/>
  <c r="L123" i="7"/>
  <c r="L139" i="7"/>
  <c r="L155" i="7"/>
  <c r="L171" i="7"/>
  <c r="L187" i="7"/>
  <c r="L203" i="7"/>
  <c r="L219" i="7"/>
  <c r="L235" i="7"/>
  <c r="L251" i="7"/>
  <c r="L267" i="7"/>
  <c r="L283" i="7"/>
  <c r="L299" i="7"/>
  <c r="L315" i="7"/>
  <c r="L331" i="7"/>
  <c r="L347" i="7"/>
  <c r="L363" i="7"/>
  <c r="L379" i="7"/>
  <c r="L309" i="7"/>
  <c r="L325" i="7"/>
  <c r="L341" i="7"/>
  <c r="L357" i="7"/>
  <c r="L373" i="7"/>
  <c r="L389" i="7"/>
  <c r="L405" i="7"/>
  <c r="L421" i="7"/>
  <c r="L437" i="7"/>
  <c r="L453" i="7"/>
  <c r="L469" i="7"/>
  <c r="L485" i="7"/>
  <c r="M78" i="7"/>
  <c r="M94" i="7"/>
  <c r="M110" i="7"/>
  <c r="M126" i="7"/>
  <c r="M142" i="7"/>
  <c r="M158" i="7"/>
  <c r="M174" i="7"/>
  <c r="M190" i="7"/>
  <c r="M206" i="7"/>
  <c r="M222" i="7"/>
  <c r="M238" i="7"/>
  <c r="M254" i="7"/>
  <c r="M270" i="7"/>
  <c r="M286" i="7"/>
  <c r="M302" i="7"/>
  <c r="M318" i="7"/>
  <c r="M334" i="7"/>
  <c r="M350" i="7"/>
  <c r="M366" i="7"/>
  <c r="M382" i="7"/>
  <c r="M398" i="7"/>
  <c r="M414" i="7"/>
  <c r="M430" i="7"/>
  <c r="M446" i="7"/>
  <c r="M462" i="7"/>
  <c r="M478" i="7"/>
  <c r="M494" i="7"/>
  <c r="M510" i="7"/>
  <c r="M526" i="7"/>
  <c r="M542" i="7"/>
  <c r="M558" i="7"/>
  <c r="M431" i="7"/>
  <c r="M447" i="7"/>
  <c r="L10" i="7"/>
  <c r="L26" i="7"/>
  <c r="L42" i="7"/>
  <c r="L58" i="7"/>
  <c r="L74" i="7"/>
  <c r="L90" i="7"/>
  <c r="L106" i="7"/>
  <c r="L122" i="7"/>
  <c r="L138" i="7"/>
  <c r="L154" i="7"/>
  <c r="L170" i="7"/>
  <c r="L186" i="7"/>
  <c r="L395" i="7"/>
  <c r="L411" i="7"/>
  <c r="L427" i="7"/>
  <c r="L443" i="7"/>
  <c r="L459" i="7"/>
  <c r="L475" i="7"/>
  <c r="L491" i="7"/>
  <c r="L507" i="7"/>
  <c r="L523" i="7"/>
  <c r="L539" i="7"/>
  <c r="L555" i="7"/>
  <c r="M2" i="7"/>
  <c r="N2" i="7" s="1"/>
  <c r="M18" i="7"/>
  <c r="M34" i="7"/>
  <c r="M50" i="7"/>
  <c r="M66" i="7"/>
  <c r="M82" i="7"/>
  <c r="M98" i="7"/>
  <c r="M114" i="7"/>
  <c r="M130" i="7"/>
  <c r="M146" i="7"/>
  <c r="M162" i="7"/>
  <c r="M178" i="7"/>
  <c r="M194" i="7"/>
  <c r="M210" i="7"/>
  <c r="M226" i="7"/>
  <c r="M242" i="7"/>
  <c r="M258" i="7"/>
  <c r="M274" i="7"/>
  <c r="M290" i="7"/>
  <c r="M306" i="7"/>
  <c r="M322" i="7"/>
  <c r="M338" i="7"/>
  <c r="M354" i="7"/>
  <c r="M370" i="7"/>
  <c r="M386" i="7"/>
  <c r="M402" i="7"/>
  <c r="M418" i="7"/>
  <c r="M434" i="7"/>
  <c r="M450" i="7"/>
  <c r="M466" i="7"/>
  <c r="M482" i="7"/>
  <c r="M498" i="7"/>
  <c r="M514" i="7"/>
  <c r="M530" i="7"/>
  <c r="M546" i="7"/>
  <c r="M562" i="7"/>
  <c r="L412" i="7"/>
  <c r="L428" i="7"/>
  <c r="L444" i="7"/>
  <c r="L460" i="7"/>
  <c r="L476" i="7"/>
  <c r="L492" i="7"/>
  <c r="L508" i="7"/>
  <c r="L524" i="7"/>
  <c r="L540" i="7"/>
  <c r="L556" i="7"/>
  <c r="M3" i="7"/>
  <c r="M19" i="7"/>
  <c r="M35" i="7"/>
  <c r="M51" i="7"/>
  <c r="M67" i="7"/>
  <c r="M83" i="7"/>
  <c r="M99" i="7"/>
  <c r="M115" i="7"/>
  <c r="M131" i="7"/>
  <c r="M147" i="7"/>
  <c r="M163" i="7"/>
  <c r="M179" i="7"/>
  <c r="M195" i="7"/>
  <c r="M211" i="7"/>
  <c r="M227" i="7"/>
  <c r="M243" i="7"/>
  <c r="M259" i="7"/>
  <c r="M275" i="7"/>
  <c r="M291" i="7"/>
  <c r="M307" i="7"/>
  <c r="M323" i="7"/>
  <c r="M339" i="7"/>
  <c r="M355" i="7"/>
  <c r="M371" i="7"/>
  <c r="M387" i="7"/>
  <c r="M403" i="7"/>
  <c r="M419" i="7"/>
  <c r="M435" i="7"/>
  <c r="M451" i="7"/>
  <c r="M467" i="7"/>
  <c r="M483" i="7"/>
  <c r="M499" i="7"/>
  <c r="M515" i="7"/>
  <c r="M531" i="7"/>
  <c r="M547" i="7"/>
  <c r="M563" i="7"/>
  <c r="M260" i="7"/>
  <c r="M276" i="7"/>
  <c r="M292" i="7"/>
  <c r="M308" i="7"/>
  <c r="M324" i="7"/>
  <c r="M340" i="7"/>
  <c r="M356" i="7"/>
  <c r="M372" i="7"/>
  <c r="M388" i="7"/>
  <c r="M404" i="7"/>
  <c r="M420" i="7"/>
  <c r="M436" i="7"/>
  <c r="M452" i="7"/>
  <c r="M468" i="7"/>
  <c r="M484" i="7"/>
  <c r="M500" i="7"/>
  <c r="M516" i="7"/>
  <c r="M532" i="7"/>
  <c r="M548" i="7"/>
  <c r="M564" i="7"/>
  <c r="L110" i="7"/>
  <c r="L126" i="7"/>
  <c r="L142" i="7"/>
  <c r="L158" i="7"/>
  <c r="L174" i="7"/>
  <c r="L190" i="7"/>
  <c r="L206" i="7"/>
  <c r="L222" i="7"/>
  <c r="L238" i="7"/>
  <c r="L254" i="7"/>
  <c r="L270" i="7"/>
  <c r="L286" i="7"/>
  <c r="L302" i="7"/>
  <c r="L318" i="7"/>
  <c r="L334" i="7"/>
  <c r="L350" i="7"/>
  <c r="L366" i="7"/>
  <c r="L382" i="7"/>
  <c r="L398" i="7"/>
  <c r="L414" i="7"/>
  <c r="L430" i="7"/>
  <c r="L446" i="7"/>
  <c r="L462" i="7"/>
  <c r="L478" i="7"/>
  <c r="L494" i="7"/>
  <c r="L510" i="7"/>
  <c r="L526" i="7"/>
  <c r="L542" i="7"/>
  <c r="L558" i="7"/>
  <c r="M5" i="7"/>
  <c r="M21" i="7"/>
  <c r="M37" i="7"/>
  <c r="M53" i="7"/>
  <c r="M69" i="7"/>
  <c r="M85" i="7"/>
  <c r="M101" i="7"/>
  <c r="M117" i="7"/>
  <c r="M133" i="7"/>
  <c r="M149" i="7"/>
  <c r="M165" i="7"/>
  <c r="M181" i="7"/>
  <c r="M197" i="7"/>
  <c r="M213" i="7"/>
  <c r="M229" i="7"/>
  <c r="M245" i="7"/>
  <c r="M261" i="7"/>
  <c r="M277" i="7"/>
  <c r="M293" i="7"/>
  <c r="M309" i="7"/>
  <c r="M325" i="7"/>
  <c r="M341" i="7"/>
  <c r="M357" i="7"/>
  <c r="M373" i="7"/>
  <c r="M389" i="7"/>
  <c r="M405" i="7"/>
  <c r="M421" i="7"/>
  <c r="M437" i="7"/>
  <c r="M453" i="7"/>
  <c r="M469" i="7"/>
  <c r="M485" i="7"/>
  <c r="M501" i="7"/>
  <c r="M517" i="7"/>
  <c r="M533" i="7"/>
  <c r="M549" i="7"/>
  <c r="M565" i="7"/>
  <c r="L16" i="7"/>
  <c r="L32" i="7"/>
  <c r="L48" i="7"/>
  <c r="L64" i="7"/>
  <c r="L80" i="7"/>
  <c r="L96" i="7"/>
  <c r="L112" i="7"/>
  <c r="L128" i="7"/>
  <c r="L144" i="7"/>
  <c r="L160" i="7"/>
  <c r="L176" i="7"/>
  <c r="L192" i="7"/>
  <c r="L208" i="7"/>
  <c r="L224" i="7"/>
  <c r="L240" i="7"/>
  <c r="L256" i="7"/>
  <c r="L272" i="7"/>
  <c r="L288" i="7"/>
  <c r="L304" i="7"/>
  <c r="L320" i="7"/>
  <c r="L336" i="7"/>
  <c r="L352" i="7"/>
  <c r="L368" i="7"/>
  <c r="L384" i="7"/>
  <c r="L400" i="7"/>
  <c r="L416" i="7"/>
  <c r="L432" i="7"/>
  <c r="L448" i="7"/>
  <c r="L464" i="7"/>
  <c r="L480" i="7"/>
  <c r="L496" i="7"/>
  <c r="M537" i="7"/>
  <c r="M553" i="7"/>
  <c r="M569" i="7"/>
  <c r="L512" i="7"/>
  <c r="L528" i="7"/>
  <c r="L544" i="7"/>
  <c r="L560" i="7"/>
  <c r="M7" i="7"/>
  <c r="M23" i="7"/>
  <c r="M39" i="7"/>
  <c r="M55" i="7"/>
  <c r="M71" i="7"/>
  <c r="M87" i="7"/>
  <c r="M103" i="7"/>
  <c r="M119" i="7"/>
  <c r="M135" i="7"/>
  <c r="M151" i="7"/>
  <c r="M167" i="7"/>
  <c r="M183" i="7"/>
  <c r="M199" i="7"/>
  <c r="M215" i="7"/>
  <c r="M231" i="7"/>
  <c r="M247" i="7"/>
  <c r="M263" i="7"/>
  <c r="M279" i="7"/>
  <c r="M295" i="7"/>
  <c r="M311" i="7"/>
  <c r="M327" i="7"/>
  <c r="M343" i="7"/>
  <c r="M359" i="7"/>
  <c r="M375" i="7"/>
  <c r="M391" i="7"/>
  <c r="M407" i="7"/>
  <c r="M423" i="7"/>
  <c r="M439" i="7"/>
  <c r="L548" i="7"/>
  <c r="L564" i="7"/>
  <c r="M11" i="7"/>
  <c r="M27" i="7"/>
  <c r="M43" i="7"/>
  <c r="M59" i="7"/>
  <c r="M75" i="7"/>
  <c r="M91" i="7"/>
  <c r="M107" i="7"/>
  <c r="M123" i="7"/>
  <c r="M139" i="7"/>
  <c r="M155" i="7"/>
  <c r="M171" i="7"/>
  <c r="M187" i="7"/>
  <c r="M203" i="7"/>
  <c r="M219" i="7"/>
  <c r="M235" i="7"/>
  <c r="M251" i="7"/>
  <c r="M267" i="7"/>
  <c r="M283" i="7"/>
  <c r="M299" i="7"/>
  <c r="M315" i="7"/>
  <c r="M331" i="7"/>
  <c r="M347" i="7"/>
  <c r="M363" i="7"/>
  <c r="M379" i="7"/>
  <c r="M395" i="7"/>
  <c r="M411" i="7"/>
  <c r="M427" i="7"/>
  <c r="M443" i="7"/>
  <c r="M459" i="7"/>
  <c r="M475" i="7"/>
  <c r="M491" i="7"/>
  <c r="L501" i="7"/>
  <c r="L517" i="7"/>
  <c r="L533" i="7"/>
  <c r="L549" i="7"/>
  <c r="L565" i="7"/>
  <c r="M12" i="7"/>
  <c r="N12" i="7" s="1"/>
  <c r="O12" i="7" s="1"/>
  <c r="P12" i="7" s="1"/>
  <c r="M28" i="7"/>
  <c r="M44" i="7"/>
  <c r="M60" i="7"/>
  <c r="M76" i="7"/>
  <c r="M92" i="7"/>
  <c r="M108" i="7"/>
  <c r="M124" i="7"/>
  <c r="M140" i="7"/>
  <c r="M156" i="7"/>
  <c r="M172" i="7"/>
  <c r="M188" i="7"/>
  <c r="M204" i="7"/>
  <c r="M220" i="7"/>
  <c r="M236" i="7"/>
  <c r="M252" i="7"/>
  <c r="M268" i="7"/>
  <c r="M284" i="7"/>
  <c r="M300" i="7"/>
  <c r="M316" i="7"/>
  <c r="M332" i="7"/>
  <c r="M348" i="7"/>
  <c r="M364" i="7"/>
  <c r="M380" i="7"/>
  <c r="N380" i="7" s="1"/>
  <c r="O380" i="7" s="1"/>
  <c r="P380" i="7" s="1"/>
  <c r="M396" i="7"/>
  <c r="M412" i="7"/>
  <c r="M428" i="7"/>
  <c r="M444" i="7"/>
  <c r="M460" i="7"/>
  <c r="M476" i="7"/>
  <c r="M492" i="7"/>
  <c r="M508" i="7"/>
  <c r="M524" i="7"/>
  <c r="M540" i="7"/>
  <c r="M556" i="7"/>
  <c r="L566" i="7"/>
  <c r="N566" i="7" s="1"/>
  <c r="O566" i="7" s="1"/>
  <c r="P566" i="7" s="1"/>
  <c r="M13" i="7"/>
  <c r="M29" i="7"/>
  <c r="M45" i="7"/>
  <c r="M61" i="7"/>
  <c r="M77" i="7"/>
  <c r="M93" i="7"/>
  <c r="M109" i="7"/>
  <c r="M125" i="7"/>
  <c r="M141" i="7"/>
  <c r="M157" i="7"/>
  <c r="M173" i="7"/>
  <c r="M189" i="7"/>
  <c r="M205" i="7"/>
  <c r="M221" i="7"/>
  <c r="M237" i="7"/>
  <c r="M253" i="7"/>
  <c r="M269" i="7"/>
  <c r="M285" i="7"/>
  <c r="M301" i="7"/>
  <c r="M317" i="7"/>
  <c r="M333" i="7"/>
  <c r="M349" i="7"/>
  <c r="M365" i="7"/>
  <c r="M381" i="7"/>
  <c r="M397" i="7"/>
  <c r="M413" i="7"/>
  <c r="M429" i="7"/>
  <c r="M445" i="7"/>
  <c r="M461" i="7"/>
  <c r="M477" i="7"/>
  <c r="M493" i="7"/>
  <c r="M509" i="7"/>
  <c r="M525" i="7"/>
  <c r="M541" i="7"/>
  <c r="M557" i="7"/>
  <c r="L105" i="7"/>
  <c r="L121" i="7"/>
  <c r="L137" i="7"/>
  <c r="L153" i="7"/>
  <c r="L169" i="7"/>
  <c r="L185" i="7"/>
  <c r="L201" i="7"/>
  <c r="L217" i="7"/>
  <c r="L233" i="7"/>
  <c r="L249" i="7"/>
  <c r="L265" i="7"/>
  <c r="L281" i="7"/>
  <c r="L297" i="7"/>
  <c r="L313" i="7"/>
  <c r="L329" i="7"/>
  <c r="L345" i="7"/>
  <c r="L361" i="7"/>
  <c r="L377" i="7"/>
  <c r="L393" i="7"/>
  <c r="L409" i="7"/>
  <c r="L425" i="7"/>
  <c r="L441" i="7"/>
  <c r="L457" i="7"/>
  <c r="L473" i="7"/>
  <c r="L489" i="7"/>
  <c r="L505" i="7"/>
  <c r="L521" i="7"/>
  <c r="L537" i="7"/>
  <c r="L553" i="7"/>
  <c r="L569" i="7"/>
  <c r="M16" i="7"/>
  <c r="M32" i="7"/>
  <c r="M48" i="7"/>
  <c r="M64" i="7"/>
  <c r="M80" i="7"/>
  <c r="M96" i="7"/>
  <c r="M112" i="7"/>
  <c r="M128" i="7"/>
  <c r="M144" i="7"/>
  <c r="M160" i="7"/>
  <c r="M176" i="7"/>
  <c r="M192" i="7"/>
  <c r="M208" i="7"/>
  <c r="M224" i="7"/>
  <c r="M240" i="7"/>
  <c r="M256" i="7"/>
  <c r="M272" i="7"/>
  <c r="M288" i="7"/>
  <c r="M304" i="7"/>
  <c r="L202" i="7"/>
  <c r="L218" i="7"/>
  <c r="L234" i="7"/>
  <c r="L250" i="7"/>
  <c r="L266" i="7"/>
  <c r="L282" i="7"/>
  <c r="L298" i="7"/>
  <c r="L314" i="7"/>
  <c r="L330" i="7"/>
  <c r="L346" i="7"/>
  <c r="L362" i="7"/>
  <c r="L378" i="7"/>
  <c r="L394" i="7"/>
  <c r="L410" i="7"/>
  <c r="L426" i="7"/>
  <c r="L442" i="7"/>
  <c r="L458" i="7"/>
  <c r="L474" i="7"/>
  <c r="L490" i="7"/>
  <c r="L506" i="7"/>
  <c r="L522" i="7"/>
  <c r="L538" i="7"/>
  <c r="L554" i="7"/>
  <c r="L570" i="7"/>
  <c r="M17" i="7"/>
  <c r="M33" i="7"/>
  <c r="M49" i="7"/>
  <c r="M65" i="7"/>
  <c r="M81" i="7"/>
  <c r="M97" i="7"/>
  <c r="M113" i="7"/>
  <c r="M129" i="7"/>
  <c r="M145" i="7"/>
  <c r="M161" i="7"/>
  <c r="M177" i="7"/>
  <c r="M193" i="7"/>
  <c r="M209" i="7"/>
  <c r="M225" i="7"/>
  <c r="M241" i="7"/>
  <c r="M257" i="7"/>
  <c r="M273" i="7"/>
  <c r="M289" i="7"/>
  <c r="M305" i="7"/>
  <c r="M321" i="7"/>
  <c r="M337" i="7"/>
  <c r="M353" i="7"/>
  <c r="M369" i="7"/>
  <c r="M385" i="7"/>
  <c r="M401" i="7"/>
  <c r="M417" i="7"/>
  <c r="M433" i="7"/>
  <c r="M449" i="7"/>
  <c r="M522" i="7"/>
  <c r="M538" i="7"/>
  <c r="M554" i="7"/>
  <c r="M570" i="7"/>
  <c r="M507" i="7"/>
  <c r="M523" i="7"/>
  <c r="M539" i="7"/>
  <c r="M555" i="7"/>
  <c r="M463" i="7"/>
  <c r="M479" i="7"/>
  <c r="M495" i="7"/>
  <c r="M511" i="7"/>
  <c r="M527" i="7"/>
  <c r="M543" i="7"/>
  <c r="M559" i="7"/>
  <c r="M320" i="7"/>
  <c r="M336" i="7"/>
  <c r="M352" i="7"/>
  <c r="M368" i="7"/>
  <c r="M384" i="7"/>
  <c r="M400" i="7"/>
  <c r="M416" i="7"/>
  <c r="M432" i="7"/>
  <c r="M448" i="7"/>
  <c r="M464" i="7"/>
  <c r="M480" i="7"/>
  <c r="M496" i="7"/>
  <c r="M512" i="7"/>
  <c r="M528" i="7"/>
  <c r="M544" i="7"/>
  <c r="M560" i="7"/>
  <c r="M465" i="7"/>
  <c r="M481" i="7"/>
  <c r="M497" i="7"/>
  <c r="M513" i="7"/>
  <c r="M529" i="7"/>
  <c r="M545" i="7"/>
  <c r="M561" i="7"/>
  <c r="M455" i="7"/>
  <c r="M471" i="7"/>
  <c r="M487" i="7"/>
  <c r="M503" i="7"/>
  <c r="M519" i="7"/>
  <c r="M535" i="7"/>
  <c r="M551" i="7"/>
  <c r="M567" i="7"/>
  <c r="M328" i="7"/>
  <c r="M344" i="7"/>
  <c r="M360" i="7"/>
  <c r="M376" i="7"/>
  <c r="M392" i="7"/>
  <c r="M408" i="7"/>
  <c r="M424" i="7"/>
  <c r="M440" i="7"/>
  <c r="M456" i="7"/>
  <c r="M472" i="7"/>
  <c r="M488" i="7"/>
  <c r="M504" i="7"/>
  <c r="M520" i="7"/>
  <c r="M536" i="7"/>
  <c r="M552" i="7"/>
  <c r="M568" i="7"/>
  <c r="K183" i="7"/>
  <c r="K518" i="7"/>
  <c r="J145" i="7"/>
  <c r="K38" i="7"/>
  <c r="J273" i="7"/>
  <c r="J241" i="7"/>
  <c r="K33" i="7"/>
  <c r="K178" i="7"/>
  <c r="K340" i="7"/>
  <c r="K11" i="7"/>
  <c r="K27" i="7"/>
  <c r="K43" i="7"/>
  <c r="K59" i="7"/>
  <c r="K75" i="7"/>
  <c r="K91" i="7"/>
  <c r="K107" i="7"/>
  <c r="K123" i="7"/>
  <c r="K139" i="7"/>
  <c r="K155" i="7"/>
  <c r="K171" i="7"/>
  <c r="K187" i="7"/>
  <c r="K203" i="7"/>
  <c r="K219" i="7"/>
  <c r="K235" i="7"/>
  <c r="K251" i="7"/>
  <c r="K267" i="7"/>
  <c r="K283" i="7"/>
  <c r="K299" i="7"/>
  <c r="K315" i="7"/>
  <c r="K331" i="7"/>
  <c r="K347" i="7"/>
  <c r="K363" i="7"/>
  <c r="K379" i="7"/>
  <c r="K395" i="7"/>
  <c r="K411" i="7"/>
  <c r="K427" i="7"/>
  <c r="K443" i="7"/>
  <c r="K459" i="7"/>
  <c r="K475" i="7"/>
  <c r="K491" i="7"/>
  <c r="K507" i="7"/>
  <c r="K523" i="7"/>
  <c r="K539" i="7"/>
  <c r="K555" i="7"/>
  <c r="J33" i="7"/>
  <c r="J193" i="7"/>
  <c r="K553" i="7"/>
  <c r="K506" i="7"/>
  <c r="K458" i="7"/>
  <c r="K417" i="7"/>
  <c r="K375" i="7"/>
  <c r="K335" i="7"/>
  <c r="K294" i="7"/>
  <c r="K249" i="7"/>
  <c r="K209" i="7"/>
  <c r="K169" i="7"/>
  <c r="K135" i="7"/>
  <c r="K98" i="7"/>
  <c r="K58" i="7"/>
  <c r="K25" i="7"/>
  <c r="K551" i="7"/>
  <c r="K502" i="7"/>
  <c r="K455" i="7"/>
  <c r="K415" i="7"/>
  <c r="K374" i="7"/>
  <c r="K330" i="7"/>
  <c r="K292" i="7"/>
  <c r="K246" i="7"/>
  <c r="K202" i="7"/>
  <c r="K167" i="7"/>
  <c r="K134" i="7"/>
  <c r="K97" i="7"/>
  <c r="K57" i="7"/>
  <c r="K23" i="7"/>
  <c r="K550" i="7"/>
  <c r="K500" i="7"/>
  <c r="K454" i="7"/>
  <c r="K410" i="7"/>
  <c r="K370" i="7"/>
  <c r="K329" i="7"/>
  <c r="K290" i="7"/>
  <c r="K244" i="7"/>
  <c r="K201" i="7"/>
  <c r="K166" i="7"/>
  <c r="K132" i="7"/>
  <c r="K90" i="7"/>
  <c r="K55" i="7"/>
  <c r="K22" i="7"/>
  <c r="K546" i="7"/>
  <c r="K498" i="7"/>
  <c r="K452" i="7"/>
  <c r="K409" i="7"/>
  <c r="K369" i="7"/>
  <c r="K327" i="7"/>
  <c r="K282" i="7"/>
  <c r="K242" i="7"/>
  <c r="K199" i="7"/>
  <c r="K164" i="7"/>
  <c r="K130" i="7"/>
  <c r="K89" i="7"/>
  <c r="K54" i="7"/>
  <c r="K20" i="7"/>
  <c r="K545" i="7"/>
  <c r="K497" i="7"/>
  <c r="K450" i="7"/>
  <c r="K407" i="7"/>
  <c r="K367" i="7"/>
  <c r="K324" i="7"/>
  <c r="K281" i="7"/>
  <c r="K241" i="7"/>
  <c r="K198" i="7"/>
  <c r="K162" i="7"/>
  <c r="K129" i="7"/>
  <c r="K87" i="7"/>
  <c r="K52" i="7"/>
  <c r="K18" i="7"/>
  <c r="K543" i="7"/>
  <c r="K490" i="7"/>
  <c r="K449" i="7"/>
  <c r="K406" i="7"/>
  <c r="K362" i="7"/>
  <c r="K322" i="7"/>
  <c r="K278" i="7"/>
  <c r="K234" i="7"/>
  <c r="K196" i="7"/>
  <c r="K161" i="7"/>
  <c r="K122" i="7"/>
  <c r="K86" i="7"/>
  <c r="K50" i="7"/>
  <c r="K15" i="7"/>
  <c r="K538" i="7"/>
  <c r="K489" i="7"/>
  <c r="K442" i="7"/>
  <c r="K402" i="7"/>
  <c r="K361" i="7"/>
  <c r="K321" i="7"/>
  <c r="K276" i="7"/>
  <c r="K233" i="7"/>
  <c r="K194" i="7"/>
  <c r="K159" i="7"/>
  <c r="K121" i="7"/>
  <c r="K84" i="7"/>
  <c r="K47" i="7"/>
  <c r="K14" i="7"/>
  <c r="K535" i="7"/>
  <c r="K487" i="7"/>
  <c r="K441" i="7"/>
  <c r="K401" i="7"/>
  <c r="K356" i="7"/>
  <c r="K319" i="7"/>
  <c r="K274" i="7"/>
  <c r="K231" i="7"/>
  <c r="K193" i="7"/>
  <c r="K154" i="7"/>
  <c r="K119" i="7"/>
  <c r="K82" i="7"/>
  <c r="K42" i="7"/>
  <c r="K10" i="7"/>
  <c r="K530" i="7"/>
  <c r="K486" i="7"/>
  <c r="K439" i="7"/>
  <c r="K399" i="7"/>
  <c r="K354" i="7"/>
  <c r="K313" i="7"/>
  <c r="K273" i="7"/>
  <c r="K230" i="7"/>
  <c r="K186" i="7"/>
  <c r="K153" i="7"/>
  <c r="K118" i="7"/>
  <c r="K74" i="7"/>
  <c r="K41" i="7"/>
  <c r="K9" i="7"/>
  <c r="K567" i="7"/>
  <c r="K529" i="7"/>
  <c r="K484" i="7"/>
  <c r="K438" i="7"/>
  <c r="K393" i="7"/>
  <c r="K353" i="7"/>
  <c r="K311" i="7"/>
  <c r="K266" i="7"/>
  <c r="K226" i="7"/>
  <c r="K185" i="7"/>
  <c r="K151" i="7"/>
  <c r="K116" i="7"/>
  <c r="K73" i="7"/>
  <c r="K39" i="7"/>
  <c r="K7" i="7"/>
  <c r="K564" i="7"/>
  <c r="K521" i="7"/>
  <c r="K481" i="7"/>
  <c r="K433" i="7"/>
  <c r="K386" i="7"/>
  <c r="K345" i="7"/>
  <c r="K306" i="7"/>
  <c r="K263" i="7"/>
  <c r="K218" i="7"/>
  <c r="K182" i="7"/>
  <c r="K148" i="7"/>
  <c r="K106" i="7"/>
  <c r="K70" i="7"/>
  <c r="K36" i="7"/>
  <c r="K4" i="7"/>
  <c r="K556" i="7"/>
  <c r="K516" i="7"/>
  <c r="K466" i="7"/>
  <c r="K422" i="7"/>
  <c r="K378" i="7"/>
  <c r="K338" i="7"/>
  <c r="K297" i="7"/>
  <c r="K257" i="7"/>
  <c r="K214" i="7"/>
  <c r="K175" i="7"/>
  <c r="K138" i="7"/>
  <c r="K102" i="7"/>
  <c r="K65" i="7"/>
  <c r="K31" i="7"/>
  <c r="K34" i="7"/>
  <c r="K180" i="7"/>
  <c r="K342" i="7"/>
  <c r="K519" i="7"/>
  <c r="J15" i="7"/>
  <c r="J31" i="7"/>
  <c r="J47" i="7"/>
  <c r="J63" i="7"/>
  <c r="J79" i="7"/>
  <c r="J95" i="7"/>
  <c r="J111" i="7"/>
  <c r="J127" i="7"/>
  <c r="K346" i="7"/>
  <c r="K522" i="7"/>
  <c r="K13" i="7"/>
  <c r="K29" i="7"/>
  <c r="K45" i="7"/>
  <c r="K61" i="7"/>
  <c r="K77" i="7"/>
  <c r="K93" i="7"/>
  <c r="K109" i="7"/>
  <c r="K125" i="7"/>
  <c r="K141" i="7"/>
  <c r="K157" i="7"/>
  <c r="K173" i="7"/>
  <c r="K189" i="7"/>
  <c r="K205" i="7"/>
  <c r="K221" i="7"/>
  <c r="K237" i="7"/>
  <c r="K253" i="7"/>
  <c r="K269" i="7"/>
  <c r="K285" i="7"/>
  <c r="K301" i="7"/>
  <c r="K317" i="7"/>
  <c r="K333" i="7"/>
  <c r="K349" i="7"/>
  <c r="K365" i="7"/>
  <c r="K381" i="7"/>
  <c r="K397" i="7"/>
  <c r="K413" i="7"/>
  <c r="K429" i="7"/>
  <c r="K445" i="7"/>
  <c r="K461" i="7"/>
  <c r="K477" i="7"/>
  <c r="K493" i="7"/>
  <c r="K509" i="7"/>
  <c r="K525" i="7"/>
  <c r="K541" i="7"/>
  <c r="K557" i="7"/>
  <c r="K63" i="7"/>
  <c r="K210" i="7"/>
  <c r="K377" i="7"/>
  <c r="K554" i="7"/>
  <c r="K30" i="7"/>
  <c r="K46" i="7"/>
  <c r="K62" i="7"/>
  <c r="K78" i="7"/>
  <c r="K94" i="7"/>
  <c r="K110" i="7"/>
  <c r="K126" i="7"/>
  <c r="K142" i="7"/>
  <c r="K158" i="7"/>
  <c r="K174" i="7"/>
  <c r="K190" i="7"/>
  <c r="K206" i="7"/>
  <c r="K222" i="7"/>
  <c r="K238" i="7"/>
  <c r="K254" i="7"/>
  <c r="K270" i="7"/>
  <c r="K286" i="7"/>
  <c r="K302" i="7"/>
  <c r="K318" i="7"/>
  <c r="K334" i="7"/>
  <c r="K350" i="7"/>
  <c r="K366" i="7"/>
  <c r="K382" i="7"/>
  <c r="K398" i="7"/>
  <c r="K414" i="7"/>
  <c r="K430" i="7"/>
  <c r="K446" i="7"/>
  <c r="K462" i="7"/>
  <c r="K478" i="7"/>
  <c r="K494" i="7"/>
  <c r="K510" i="7"/>
  <c r="K526" i="7"/>
  <c r="K542" i="7"/>
  <c r="K558" i="7"/>
  <c r="J17" i="7"/>
  <c r="J65" i="7"/>
  <c r="J161" i="7"/>
  <c r="J177" i="7"/>
  <c r="J209" i="7"/>
  <c r="J337" i="7"/>
  <c r="K66" i="7"/>
  <c r="K215" i="7"/>
  <c r="K383" i="7"/>
  <c r="K559" i="7"/>
  <c r="K68" i="7"/>
  <c r="K217" i="7"/>
  <c r="K385" i="7"/>
  <c r="K562" i="7"/>
  <c r="K16" i="7"/>
  <c r="K32" i="7"/>
  <c r="K48" i="7"/>
  <c r="K64" i="7"/>
  <c r="K80" i="7"/>
  <c r="K96" i="7"/>
  <c r="K112" i="7"/>
  <c r="K128" i="7"/>
  <c r="K144" i="7"/>
  <c r="K160" i="7"/>
  <c r="K176" i="7"/>
  <c r="K192" i="7"/>
  <c r="K208" i="7"/>
  <c r="K224" i="7"/>
  <c r="K240" i="7"/>
  <c r="K256" i="7"/>
  <c r="K272" i="7"/>
  <c r="K288" i="7"/>
  <c r="K304" i="7"/>
  <c r="J3" i="7"/>
  <c r="J19" i="7"/>
  <c r="J35" i="7"/>
  <c r="K71" i="7"/>
  <c r="K225" i="7"/>
  <c r="K388" i="7"/>
  <c r="K566" i="7"/>
  <c r="J4" i="7"/>
  <c r="K100" i="7"/>
  <c r="K250" i="7"/>
  <c r="K418" i="7"/>
  <c r="J129" i="7"/>
  <c r="J5" i="7"/>
  <c r="J21" i="7"/>
  <c r="J37" i="7"/>
  <c r="J53" i="7"/>
  <c r="J69" i="7"/>
  <c r="J85" i="7"/>
  <c r="J101" i="7"/>
  <c r="J117" i="7"/>
  <c r="J133" i="7"/>
  <c r="J149" i="7"/>
  <c r="J165" i="7"/>
  <c r="J181" i="7"/>
  <c r="J197" i="7"/>
  <c r="J213" i="7"/>
  <c r="J229" i="7"/>
  <c r="J245" i="7"/>
  <c r="J261" i="7"/>
  <c r="J277" i="7"/>
  <c r="J293" i="7"/>
  <c r="J309" i="7"/>
  <c r="J325" i="7"/>
  <c r="J341" i="7"/>
  <c r="J357" i="7"/>
  <c r="J373" i="7"/>
  <c r="J389" i="7"/>
  <c r="J405" i="7"/>
  <c r="J421" i="7"/>
  <c r="J437" i="7"/>
  <c r="J453" i="7"/>
  <c r="J469" i="7"/>
  <c r="J485" i="7"/>
  <c r="J501" i="7"/>
  <c r="J517" i="7"/>
  <c r="J533" i="7"/>
  <c r="K103" i="7"/>
  <c r="K258" i="7"/>
  <c r="K423" i="7"/>
  <c r="J49" i="7"/>
  <c r="J321" i="7"/>
  <c r="K105" i="7"/>
  <c r="K262" i="7"/>
  <c r="K426" i="7"/>
  <c r="J257" i="7"/>
  <c r="J7" i="7"/>
  <c r="J23" i="7"/>
  <c r="J39" i="7"/>
  <c r="J55" i="7"/>
  <c r="J71" i="7"/>
  <c r="J87" i="7"/>
  <c r="J103" i="7"/>
  <c r="J119" i="7"/>
  <c r="J135" i="7"/>
  <c r="J151" i="7"/>
  <c r="J167" i="7"/>
  <c r="J183" i="7"/>
  <c r="J199" i="7"/>
  <c r="J215" i="7"/>
  <c r="J231" i="7"/>
  <c r="J247" i="7"/>
  <c r="J263" i="7"/>
  <c r="J279" i="7"/>
  <c r="J295" i="7"/>
  <c r="J311" i="7"/>
  <c r="J327" i="7"/>
  <c r="J343" i="7"/>
  <c r="J359" i="7"/>
  <c r="J375" i="7"/>
  <c r="J391" i="7"/>
  <c r="J407" i="7"/>
  <c r="J423" i="7"/>
  <c r="J439" i="7"/>
  <c r="J455" i="7"/>
  <c r="J471" i="7"/>
  <c r="J487" i="7"/>
  <c r="J503" i="7"/>
  <c r="J519" i="7"/>
  <c r="J535" i="7"/>
  <c r="J551" i="7"/>
  <c r="J567" i="7"/>
  <c r="K114" i="7"/>
  <c r="K265" i="7"/>
  <c r="K434" i="7"/>
  <c r="J8" i="7"/>
  <c r="J24" i="7"/>
  <c r="J40" i="7"/>
  <c r="J56" i="7"/>
  <c r="J72" i="7"/>
  <c r="J88" i="7"/>
  <c r="J104" i="7"/>
  <c r="J120" i="7"/>
  <c r="J136" i="7"/>
  <c r="J152" i="7"/>
  <c r="J168" i="7"/>
  <c r="J184" i="7"/>
  <c r="J200" i="7"/>
  <c r="J216" i="7"/>
  <c r="J232" i="7"/>
  <c r="J248" i="7"/>
  <c r="J264" i="7"/>
  <c r="J280" i="7"/>
  <c r="J296" i="7"/>
  <c r="J312" i="7"/>
  <c r="J328" i="7"/>
  <c r="J344" i="7"/>
  <c r="J360" i="7"/>
  <c r="J376" i="7"/>
  <c r="J392" i="7"/>
  <c r="K137" i="7"/>
  <c r="K295" i="7"/>
  <c r="K465" i="7"/>
  <c r="J97" i="7"/>
  <c r="J9" i="7"/>
  <c r="J25" i="7"/>
  <c r="J41" i="7"/>
  <c r="J57" i="7"/>
  <c r="J73" i="7"/>
  <c r="J89" i="7"/>
  <c r="J105" i="7"/>
  <c r="J121" i="7"/>
  <c r="J137" i="7"/>
  <c r="J153" i="7"/>
  <c r="J169" i="7"/>
  <c r="J185" i="7"/>
  <c r="J201" i="7"/>
  <c r="J217" i="7"/>
  <c r="J233" i="7"/>
  <c r="J249" i="7"/>
  <c r="J265" i="7"/>
  <c r="J281" i="7"/>
  <c r="J297" i="7"/>
  <c r="J313" i="7"/>
  <c r="J329" i="7"/>
  <c r="J345" i="7"/>
  <c r="J361" i="7"/>
  <c r="J377" i="7"/>
  <c r="J393" i="7"/>
  <c r="J409" i="7"/>
  <c r="J425" i="7"/>
  <c r="J441" i="7"/>
  <c r="J457" i="7"/>
  <c r="J473" i="7"/>
  <c r="J489" i="7"/>
  <c r="J505" i="7"/>
  <c r="J521" i="7"/>
  <c r="J537" i="7"/>
  <c r="J553" i="7"/>
  <c r="J569" i="7"/>
  <c r="K143" i="7"/>
  <c r="K298" i="7"/>
  <c r="K471" i="7"/>
  <c r="J81" i="7"/>
  <c r="J305" i="7"/>
  <c r="J10" i="7"/>
  <c r="J26" i="7"/>
  <c r="J42" i="7"/>
  <c r="J58" i="7"/>
  <c r="J74" i="7"/>
  <c r="J90" i="7"/>
  <c r="J106" i="7"/>
  <c r="J122" i="7"/>
  <c r="J138" i="7"/>
  <c r="J154" i="7"/>
  <c r="J170" i="7"/>
  <c r="J186" i="7"/>
  <c r="J202" i="7"/>
  <c r="J218" i="7"/>
  <c r="J234" i="7"/>
  <c r="J250" i="7"/>
  <c r="J266" i="7"/>
  <c r="J282" i="7"/>
  <c r="J298" i="7"/>
  <c r="J314" i="7"/>
  <c r="J330" i="7"/>
  <c r="J346" i="7"/>
  <c r="J362" i="7"/>
  <c r="J378" i="7"/>
  <c r="J394" i="7"/>
  <c r="J410" i="7"/>
  <c r="J426" i="7"/>
  <c r="J442" i="7"/>
  <c r="J458" i="7"/>
  <c r="J474" i="7"/>
  <c r="J490" i="7"/>
  <c r="J506" i="7"/>
  <c r="J522" i="7"/>
  <c r="J538" i="7"/>
  <c r="J554" i="7"/>
  <c r="J570" i="7"/>
  <c r="K146" i="7"/>
  <c r="K305" i="7"/>
  <c r="K473" i="7"/>
  <c r="J289" i="7"/>
  <c r="J11" i="7"/>
  <c r="K6" i="7"/>
  <c r="K150" i="7"/>
  <c r="K310" i="7"/>
  <c r="K482" i="7"/>
  <c r="J113" i="7"/>
  <c r="J225" i="7"/>
  <c r="J2" i="7"/>
  <c r="J12" i="7"/>
  <c r="J28" i="7"/>
  <c r="J44" i="7"/>
  <c r="J60" i="7"/>
  <c r="J76" i="7"/>
  <c r="J92" i="7"/>
  <c r="J108" i="7"/>
  <c r="J124" i="7"/>
  <c r="J140" i="7"/>
  <c r="J156" i="7"/>
  <c r="J172" i="7"/>
  <c r="J188" i="7"/>
  <c r="J204" i="7"/>
  <c r="J220" i="7"/>
  <c r="J236" i="7"/>
  <c r="J252" i="7"/>
  <c r="J268" i="7"/>
  <c r="J284" i="7"/>
  <c r="J300" i="7"/>
  <c r="J316" i="7"/>
  <c r="J332" i="7"/>
  <c r="J348" i="7"/>
  <c r="J364" i="7"/>
  <c r="J380" i="7"/>
  <c r="J396" i="7"/>
  <c r="J412" i="7"/>
  <c r="J428" i="7"/>
  <c r="J444" i="7"/>
  <c r="J460" i="7"/>
  <c r="J476" i="7"/>
  <c r="J492" i="7"/>
  <c r="J508" i="7"/>
  <c r="J524" i="7"/>
  <c r="J540" i="7"/>
  <c r="J556" i="7"/>
  <c r="K26" i="7"/>
  <c r="K170" i="7"/>
  <c r="K337" i="7"/>
  <c r="K514" i="7"/>
  <c r="J408" i="7"/>
  <c r="J424" i="7"/>
  <c r="J440" i="7"/>
  <c r="J456" i="7"/>
  <c r="J472" i="7"/>
  <c r="J488" i="7"/>
  <c r="J504" i="7"/>
  <c r="J520" i="7"/>
  <c r="J536" i="7"/>
  <c r="J552" i="7"/>
  <c r="J568" i="7"/>
  <c r="K12" i="7"/>
  <c r="K28" i="7"/>
  <c r="K44" i="7"/>
  <c r="K60" i="7"/>
  <c r="K76" i="7"/>
  <c r="K92" i="7"/>
  <c r="K108" i="7"/>
  <c r="K124" i="7"/>
  <c r="K140" i="7"/>
  <c r="K156" i="7"/>
  <c r="K172" i="7"/>
  <c r="K188" i="7"/>
  <c r="K204" i="7"/>
  <c r="K220" i="7"/>
  <c r="K236" i="7"/>
  <c r="K252" i="7"/>
  <c r="K268" i="7"/>
  <c r="K284" i="7"/>
  <c r="K300" i="7"/>
  <c r="K316" i="7"/>
  <c r="K332" i="7"/>
  <c r="K348" i="7"/>
  <c r="K364" i="7"/>
  <c r="K380" i="7"/>
  <c r="K396" i="7"/>
  <c r="K412" i="7"/>
  <c r="K428" i="7"/>
  <c r="K444" i="7"/>
  <c r="K460" i="7"/>
  <c r="K476" i="7"/>
  <c r="K492" i="7"/>
  <c r="K508" i="7"/>
  <c r="K524" i="7"/>
  <c r="K540" i="7"/>
  <c r="J27" i="7"/>
  <c r="J43" i="7"/>
  <c r="J59" i="7"/>
  <c r="J75" i="7"/>
  <c r="J91" i="7"/>
  <c r="J107" i="7"/>
  <c r="J123" i="7"/>
  <c r="J139" i="7"/>
  <c r="J155" i="7"/>
  <c r="J171" i="7"/>
  <c r="J187" i="7"/>
  <c r="J203" i="7"/>
  <c r="J219" i="7"/>
  <c r="J235" i="7"/>
  <c r="J251" i="7"/>
  <c r="J267" i="7"/>
  <c r="J283" i="7"/>
  <c r="J299" i="7"/>
  <c r="J315" i="7"/>
  <c r="J331" i="7"/>
  <c r="J347" i="7"/>
  <c r="J363" i="7"/>
  <c r="J379" i="7"/>
  <c r="J395" i="7"/>
  <c r="J411" i="7"/>
  <c r="J427" i="7"/>
  <c r="J443" i="7"/>
  <c r="J459" i="7"/>
  <c r="J475" i="7"/>
  <c r="J491" i="7"/>
  <c r="J507" i="7"/>
  <c r="J523" i="7"/>
  <c r="J539" i="7"/>
  <c r="J555" i="7"/>
  <c r="K79" i="7"/>
  <c r="K95" i="7"/>
  <c r="K111" i="7"/>
  <c r="K127" i="7"/>
  <c r="K191" i="7"/>
  <c r="K207" i="7"/>
  <c r="K223" i="7"/>
  <c r="K239" i="7"/>
  <c r="K255" i="7"/>
  <c r="K271" i="7"/>
  <c r="K287" i="7"/>
  <c r="K303" i="7"/>
  <c r="K351" i="7"/>
  <c r="K431" i="7"/>
  <c r="K447" i="7"/>
  <c r="K463" i="7"/>
  <c r="K479" i="7"/>
  <c r="K495" i="7"/>
  <c r="K511" i="7"/>
  <c r="K527" i="7"/>
  <c r="K320" i="7"/>
  <c r="K336" i="7"/>
  <c r="K352" i="7"/>
  <c r="K368" i="7"/>
  <c r="K384" i="7"/>
  <c r="K400" i="7"/>
  <c r="K416" i="7"/>
  <c r="K432" i="7"/>
  <c r="K448" i="7"/>
  <c r="K464" i="7"/>
  <c r="K480" i="7"/>
  <c r="K496" i="7"/>
  <c r="K512" i="7"/>
  <c r="K528" i="7"/>
  <c r="K544" i="7"/>
  <c r="K560" i="7"/>
  <c r="J13" i="7"/>
  <c r="J29" i="7"/>
  <c r="J45" i="7"/>
  <c r="J61" i="7"/>
  <c r="J77" i="7"/>
  <c r="J93" i="7"/>
  <c r="J109" i="7"/>
  <c r="J125" i="7"/>
  <c r="J141" i="7"/>
  <c r="J157" i="7"/>
  <c r="J173" i="7"/>
  <c r="J189" i="7"/>
  <c r="J205" i="7"/>
  <c r="J221" i="7"/>
  <c r="J237" i="7"/>
  <c r="J253" i="7"/>
  <c r="J269" i="7"/>
  <c r="J285" i="7"/>
  <c r="J301" i="7"/>
  <c r="J317" i="7"/>
  <c r="J333" i="7"/>
  <c r="J349" i="7"/>
  <c r="J365" i="7"/>
  <c r="J381" i="7"/>
  <c r="J397" i="7"/>
  <c r="J413" i="7"/>
  <c r="J429" i="7"/>
  <c r="J445" i="7"/>
  <c r="J461" i="7"/>
  <c r="J477" i="7"/>
  <c r="J493" i="7"/>
  <c r="J509" i="7"/>
  <c r="J525" i="7"/>
  <c r="J541" i="7"/>
  <c r="J557" i="7"/>
  <c r="K17" i="7"/>
  <c r="K49" i="7"/>
  <c r="K81" i="7"/>
  <c r="K113" i="7"/>
  <c r="K145" i="7"/>
  <c r="K177" i="7"/>
  <c r="K289" i="7"/>
  <c r="K513" i="7"/>
  <c r="K561" i="7"/>
  <c r="J14" i="7"/>
  <c r="J30" i="7"/>
  <c r="J46" i="7"/>
  <c r="J62" i="7"/>
  <c r="J78" i="7"/>
  <c r="J94" i="7"/>
  <c r="J110" i="7"/>
  <c r="J126" i="7"/>
  <c r="J142" i="7"/>
  <c r="J158" i="7"/>
  <c r="J174" i="7"/>
  <c r="J190" i="7"/>
  <c r="J206" i="7"/>
  <c r="J222" i="7"/>
  <c r="J238" i="7"/>
  <c r="J254" i="7"/>
  <c r="J270" i="7"/>
  <c r="J286" i="7"/>
  <c r="J302" i="7"/>
  <c r="J318" i="7"/>
  <c r="J334" i="7"/>
  <c r="J350" i="7"/>
  <c r="J366" i="7"/>
  <c r="J382" i="7"/>
  <c r="J398" i="7"/>
  <c r="J414" i="7"/>
  <c r="J430" i="7"/>
  <c r="J446" i="7"/>
  <c r="J462" i="7"/>
  <c r="J478" i="7"/>
  <c r="J494" i="7"/>
  <c r="J510" i="7"/>
  <c r="J526" i="7"/>
  <c r="J542" i="7"/>
  <c r="J558" i="7"/>
  <c r="K2" i="7"/>
  <c r="J143" i="7"/>
  <c r="J159" i="7"/>
  <c r="J175" i="7"/>
  <c r="J191" i="7"/>
  <c r="J207" i="7"/>
  <c r="J223" i="7"/>
  <c r="J239" i="7"/>
  <c r="J255" i="7"/>
  <c r="J271" i="7"/>
  <c r="J287" i="7"/>
  <c r="J303" i="7"/>
  <c r="J319" i="7"/>
  <c r="J335" i="7"/>
  <c r="J351" i="7"/>
  <c r="J367" i="7"/>
  <c r="J383" i="7"/>
  <c r="J399" i="7"/>
  <c r="J415" i="7"/>
  <c r="J431" i="7"/>
  <c r="J447" i="7"/>
  <c r="J463" i="7"/>
  <c r="J479" i="7"/>
  <c r="J495" i="7"/>
  <c r="J511" i="7"/>
  <c r="J527" i="7"/>
  <c r="J543" i="7"/>
  <c r="J559" i="7"/>
  <c r="K3" i="7"/>
  <c r="K19" i="7"/>
  <c r="K35" i="7"/>
  <c r="K51" i="7"/>
  <c r="K67" i="7"/>
  <c r="K83" i="7"/>
  <c r="K99" i="7"/>
  <c r="K115" i="7"/>
  <c r="K131" i="7"/>
  <c r="K147" i="7"/>
  <c r="K163" i="7"/>
  <c r="K179" i="7"/>
  <c r="K195" i="7"/>
  <c r="K211" i="7"/>
  <c r="K227" i="7"/>
  <c r="K243" i="7"/>
  <c r="K259" i="7"/>
  <c r="K275" i="7"/>
  <c r="K291" i="7"/>
  <c r="K307" i="7"/>
  <c r="K323" i="7"/>
  <c r="K339" i="7"/>
  <c r="K355" i="7"/>
  <c r="K371" i="7"/>
  <c r="K387" i="7"/>
  <c r="K403" i="7"/>
  <c r="K419" i="7"/>
  <c r="K435" i="7"/>
  <c r="K451" i="7"/>
  <c r="K467" i="7"/>
  <c r="K483" i="7"/>
  <c r="K499" i="7"/>
  <c r="K515" i="7"/>
  <c r="K531" i="7"/>
  <c r="K547" i="7"/>
  <c r="K563" i="7"/>
  <c r="J16" i="7"/>
  <c r="J32" i="7"/>
  <c r="J48" i="7"/>
  <c r="J64" i="7"/>
  <c r="J80" i="7"/>
  <c r="J96" i="7"/>
  <c r="J112" i="7"/>
  <c r="J128" i="7"/>
  <c r="J144" i="7"/>
  <c r="J160" i="7"/>
  <c r="J176" i="7"/>
  <c r="J192" i="7"/>
  <c r="J208" i="7"/>
  <c r="J224" i="7"/>
  <c r="J240" i="7"/>
  <c r="J256" i="7"/>
  <c r="J272" i="7"/>
  <c r="J288" i="7"/>
  <c r="J304" i="7"/>
  <c r="J320" i="7"/>
  <c r="J336" i="7"/>
  <c r="J352" i="7"/>
  <c r="J368" i="7"/>
  <c r="J384" i="7"/>
  <c r="J400" i="7"/>
  <c r="J416" i="7"/>
  <c r="J432" i="7"/>
  <c r="J448" i="7"/>
  <c r="J464" i="7"/>
  <c r="J480" i="7"/>
  <c r="J496" i="7"/>
  <c r="J512" i="7"/>
  <c r="J528" i="7"/>
  <c r="J544" i="7"/>
  <c r="J560" i="7"/>
  <c r="K212" i="7"/>
  <c r="K228" i="7"/>
  <c r="K260" i="7"/>
  <c r="K308" i="7"/>
  <c r="K372" i="7"/>
  <c r="K404" i="7"/>
  <c r="K420" i="7"/>
  <c r="K436" i="7"/>
  <c r="K468" i="7"/>
  <c r="K532" i="7"/>
  <c r="K548" i="7"/>
  <c r="J353" i="7"/>
  <c r="J369" i="7"/>
  <c r="J385" i="7"/>
  <c r="J401" i="7"/>
  <c r="J417" i="7"/>
  <c r="J433" i="7"/>
  <c r="J449" i="7"/>
  <c r="J465" i="7"/>
  <c r="J481" i="7"/>
  <c r="J497" i="7"/>
  <c r="J513" i="7"/>
  <c r="J529" i="7"/>
  <c r="J545" i="7"/>
  <c r="J561" i="7"/>
  <c r="K5" i="7"/>
  <c r="K21" i="7"/>
  <c r="K37" i="7"/>
  <c r="K53" i="7"/>
  <c r="K69" i="7"/>
  <c r="K85" i="7"/>
  <c r="K101" i="7"/>
  <c r="K117" i="7"/>
  <c r="K133" i="7"/>
  <c r="K149" i="7"/>
  <c r="K165" i="7"/>
  <c r="K181" i="7"/>
  <c r="K197" i="7"/>
  <c r="K213" i="7"/>
  <c r="K229" i="7"/>
  <c r="K245" i="7"/>
  <c r="K261" i="7"/>
  <c r="K277" i="7"/>
  <c r="K293" i="7"/>
  <c r="K309" i="7"/>
  <c r="K325" i="7"/>
  <c r="K341" i="7"/>
  <c r="K357" i="7"/>
  <c r="K373" i="7"/>
  <c r="K389" i="7"/>
  <c r="K405" i="7"/>
  <c r="K421" i="7"/>
  <c r="K437" i="7"/>
  <c r="K453" i="7"/>
  <c r="K469" i="7"/>
  <c r="K485" i="7"/>
  <c r="K501" i="7"/>
  <c r="K517" i="7"/>
  <c r="K533" i="7"/>
  <c r="K549" i="7"/>
  <c r="K565" i="7"/>
  <c r="J18" i="7"/>
  <c r="J34" i="7"/>
  <c r="J50" i="7"/>
  <c r="J66" i="7"/>
  <c r="J82" i="7"/>
  <c r="J98" i="7"/>
  <c r="J114" i="7"/>
  <c r="J130" i="7"/>
  <c r="J146" i="7"/>
  <c r="J162" i="7"/>
  <c r="J178" i="7"/>
  <c r="J194" i="7"/>
  <c r="J210" i="7"/>
  <c r="J226" i="7"/>
  <c r="J242" i="7"/>
  <c r="J258" i="7"/>
  <c r="J274" i="7"/>
  <c r="J290" i="7"/>
  <c r="J306" i="7"/>
  <c r="J322" i="7"/>
  <c r="J338" i="7"/>
  <c r="J354" i="7"/>
  <c r="J370" i="7"/>
  <c r="J386" i="7"/>
  <c r="J402" i="7"/>
  <c r="J418" i="7"/>
  <c r="J434" i="7"/>
  <c r="J450" i="7"/>
  <c r="J466" i="7"/>
  <c r="J482" i="7"/>
  <c r="J498" i="7"/>
  <c r="J514" i="7"/>
  <c r="J530" i="7"/>
  <c r="J546" i="7"/>
  <c r="J562" i="7"/>
  <c r="K326" i="7"/>
  <c r="K358" i="7"/>
  <c r="K390" i="7"/>
  <c r="K470" i="7"/>
  <c r="K534" i="7"/>
  <c r="J51" i="7"/>
  <c r="J67" i="7"/>
  <c r="J83" i="7"/>
  <c r="J99" i="7"/>
  <c r="J115" i="7"/>
  <c r="J131" i="7"/>
  <c r="J147" i="7"/>
  <c r="J163" i="7"/>
  <c r="J179" i="7"/>
  <c r="J195" i="7"/>
  <c r="J211" i="7"/>
  <c r="J227" i="7"/>
  <c r="J243" i="7"/>
  <c r="J259" i="7"/>
  <c r="J275" i="7"/>
  <c r="J291" i="7"/>
  <c r="J307" i="7"/>
  <c r="J323" i="7"/>
  <c r="J339" i="7"/>
  <c r="J355" i="7"/>
  <c r="J371" i="7"/>
  <c r="J387" i="7"/>
  <c r="J403" i="7"/>
  <c r="J419" i="7"/>
  <c r="J435" i="7"/>
  <c r="J451" i="7"/>
  <c r="J467" i="7"/>
  <c r="J483" i="7"/>
  <c r="J499" i="7"/>
  <c r="J515" i="7"/>
  <c r="J531" i="7"/>
  <c r="J547" i="7"/>
  <c r="J563" i="7"/>
  <c r="K247" i="7"/>
  <c r="K279" i="7"/>
  <c r="K343" i="7"/>
  <c r="K359" i="7"/>
  <c r="K391" i="7"/>
  <c r="K503" i="7"/>
  <c r="J20" i="7"/>
  <c r="J36" i="7"/>
  <c r="J52" i="7"/>
  <c r="J68" i="7"/>
  <c r="J84" i="7"/>
  <c r="J100" i="7"/>
  <c r="J116" i="7"/>
  <c r="J132" i="7"/>
  <c r="J148" i="7"/>
  <c r="J164" i="7"/>
  <c r="J180" i="7"/>
  <c r="J196" i="7"/>
  <c r="J212" i="7"/>
  <c r="J228" i="7"/>
  <c r="J244" i="7"/>
  <c r="J260" i="7"/>
  <c r="J276" i="7"/>
  <c r="J292" i="7"/>
  <c r="J308" i="7"/>
  <c r="J324" i="7"/>
  <c r="J340" i="7"/>
  <c r="J356" i="7"/>
  <c r="J372" i="7"/>
  <c r="J388" i="7"/>
  <c r="J404" i="7"/>
  <c r="J420" i="7"/>
  <c r="J436" i="7"/>
  <c r="J452" i="7"/>
  <c r="J468" i="7"/>
  <c r="J484" i="7"/>
  <c r="J500" i="7"/>
  <c r="J516" i="7"/>
  <c r="J532" i="7"/>
  <c r="J548" i="7"/>
  <c r="J564" i="7"/>
  <c r="K8" i="7"/>
  <c r="K24" i="7"/>
  <c r="K40" i="7"/>
  <c r="K56" i="7"/>
  <c r="K72" i="7"/>
  <c r="K88" i="7"/>
  <c r="K104" i="7"/>
  <c r="K120" i="7"/>
  <c r="K136" i="7"/>
  <c r="K152" i="7"/>
  <c r="K168" i="7"/>
  <c r="K184" i="7"/>
  <c r="K200" i="7"/>
  <c r="K216" i="7"/>
  <c r="K232" i="7"/>
  <c r="K248" i="7"/>
  <c r="K264" i="7"/>
  <c r="K280" i="7"/>
  <c r="K296" i="7"/>
  <c r="K312" i="7"/>
  <c r="K328" i="7"/>
  <c r="K344" i="7"/>
  <c r="K360" i="7"/>
  <c r="K376" i="7"/>
  <c r="K392" i="7"/>
  <c r="K408" i="7"/>
  <c r="K424" i="7"/>
  <c r="K440" i="7"/>
  <c r="K456" i="7"/>
  <c r="K472" i="7"/>
  <c r="K488" i="7"/>
  <c r="K504" i="7"/>
  <c r="K520" i="7"/>
  <c r="K536" i="7"/>
  <c r="K552" i="7"/>
  <c r="K568" i="7"/>
  <c r="J549" i="7"/>
  <c r="J565" i="7"/>
  <c r="K425" i="7"/>
  <c r="K457" i="7"/>
  <c r="K505" i="7"/>
  <c r="K537" i="7"/>
  <c r="K569" i="7"/>
  <c r="J6" i="7"/>
  <c r="J22" i="7"/>
  <c r="J38" i="7"/>
  <c r="J54" i="7"/>
  <c r="J70" i="7"/>
  <c r="J86" i="7"/>
  <c r="J102" i="7"/>
  <c r="J118" i="7"/>
  <c r="J134" i="7"/>
  <c r="J150" i="7"/>
  <c r="J166" i="7"/>
  <c r="J182" i="7"/>
  <c r="J198" i="7"/>
  <c r="J214" i="7"/>
  <c r="J230" i="7"/>
  <c r="J246" i="7"/>
  <c r="J262" i="7"/>
  <c r="J278" i="7"/>
  <c r="J294" i="7"/>
  <c r="J310" i="7"/>
  <c r="J326" i="7"/>
  <c r="J342" i="7"/>
  <c r="J358" i="7"/>
  <c r="J374" i="7"/>
  <c r="J390" i="7"/>
  <c r="J406" i="7"/>
  <c r="J422" i="7"/>
  <c r="J438" i="7"/>
  <c r="J454" i="7"/>
  <c r="J470" i="7"/>
  <c r="J486" i="7"/>
  <c r="J502" i="7"/>
  <c r="J518" i="7"/>
  <c r="J534" i="7"/>
  <c r="J550" i="7"/>
  <c r="J566" i="7"/>
  <c r="K314" i="7"/>
  <c r="K394" i="7"/>
  <c r="K474" i="7"/>
  <c r="K570" i="7"/>
  <c r="N84" i="7" l="1"/>
  <c r="O84" i="7" s="1"/>
  <c r="P84" i="7" s="1"/>
  <c r="N86" i="7"/>
  <c r="O86" i="7" s="1"/>
  <c r="P86" i="7" s="1"/>
  <c r="N36" i="7"/>
  <c r="O36" i="7" s="1"/>
  <c r="P36" i="7" s="1"/>
  <c r="N280" i="7"/>
  <c r="O280" i="7" s="1"/>
  <c r="P280" i="7" s="1"/>
  <c r="J2" i="1"/>
  <c r="O2" i="7"/>
  <c r="P2" i="7" s="1"/>
  <c r="N232" i="7"/>
  <c r="O232" i="7" s="1"/>
  <c r="P232" i="7" s="1"/>
  <c r="N22" i="7"/>
  <c r="O22" i="7" s="1"/>
  <c r="P22" i="7" s="1"/>
  <c r="N198" i="7"/>
  <c r="O198" i="7" s="1"/>
  <c r="P198" i="7" s="1"/>
  <c r="N116" i="7"/>
  <c r="O116" i="7" s="1"/>
  <c r="P116" i="7" s="1"/>
  <c r="N88" i="7"/>
  <c r="O88" i="7" s="1"/>
  <c r="P88" i="7" s="1"/>
  <c r="N102" i="7"/>
  <c r="O102" i="7" s="1"/>
  <c r="P102" i="7" s="1"/>
  <c r="N296" i="7"/>
  <c r="O296" i="7" s="1"/>
  <c r="P296" i="7" s="1"/>
  <c r="N230" i="7"/>
  <c r="O230" i="7" s="1"/>
  <c r="P230" i="7" s="1"/>
  <c r="N164" i="7"/>
  <c r="O164" i="7" s="1"/>
  <c r="P164" i="7" s="1"/>
  <c r="N72" i="7"/>
  <c r="O72" i="7" s="1"/>
  <c r="P72" i="7" s="1"/>
  <c r="N240" i="7"/>
  <c r="O240" i="7" s="1"/>
  <c r="P240" i="7" s="1"/>
  <c r="N300" i="7"/>
  <c r="O300" i="7" s="1"/>
  <c r="P300" i="7" s="1"/>
  <c r="N55" i="7"/>
  <c r="O55" i="7" s="1"/>
  <c r="P55" i="7" s="1"/>
  <c r="N44" i="7"/>
  <c r="O44" i="7" s="1"/>
  <c r="P44" i="7" s="1"/>
  <c r="N284" i="7"/>
  <c r="O284" i="7" s="1"/>
  <c r="P284" i="7" s="1"/>
  <c r="N118" i="7"/>
  <c r="O118" i="7" s="1"/>
  <c r="P118" i="7" s="1"/>
  <c r="N453" i="7"/>
  <c r="O453" i="7" s="1"/>
  <c r="P453" i="7" s="1"/>
  <c r="N279" i="7"/>
  <c r="O279" i="7" s="1"/>
  <c r="P279" i="7" s="1"/>
  <c r="N192" i="7"/>
  <c r="O192" i="7" s="1"/>
  <c r="P192" i="7" s="1"/>
  <c r="N39" i="7"/>
  <c r="O39" i="7" s="1"/>
  <c r="P39" i="7" s="1"/>
  <c r="N426" i="7"/>
  <c r="O426" i="7" s="1"/>
  <c r="P426" i="7" s="1"/>
  <c r="N345" i="7"/>
  <c r="O345" i="7" s="1"/>
  <c r="P345" i="7" s="1"/>
  <c r="N395" i="7"/>
  <c r="O395" i="7" s="1"/>
  <c r="P395" i="7" s="1"/>
  <c r="N283" i="7"/>
  <c r="O283" i="7" s="1"/>
  <c r="P283" i="7" s="1"/>
  <c r="N27" i="7"/>
  <c r="O27" i="7" s="1"/>
  <c r="P27" i="7" s="1"/>
  <c r="N360" i="7"/>
  <c r="O360" i="7" s="1"/>
  <c r="P360" i="7" s="1"/>
  <c r="N471" i="7"/>
  <c r="O471" i="7" s="1"/>
  <c r="P471" i="7" s="1"/>
  <c r="N134" i="7"/>
  <c r="O134" i="7" s="1"/>
  <c r="P134" i="7" s="1"/>
  <c r="N165" i="7"/>
  <c r="O165" i="7" s="1"/>
  <c r="P165" i="7" s="1"/>
  <c r="N143" i="7"/>
  <c r="O143" i="7" s="1"/>
  <c r="P143" i="7" s="1"/>
  <c r="N410" i="7"/>
  <c r="O410" i="7" s="1"/>
  <c r="P410" i="7" s="1"/>
  <c r="N329" i="7"/>
  <c r="O329" i="7" s="1"/>
  <c r="P329" i="7" s="1"/>
  <c r="N224" i="7"/>
  <c r="O224" i="7" s="1"/>
  <c r="P224" i="7" s="1"/>
  <c r="N334" i="7"/>
  <c r="O334" i="7" s="1"/>
  <c r="P334" i="7" s="1"/>
  <c r="N412" i="7"/>
  <c r="O412" i="7" s="1"/>
  <c r="P412" i="7" s="1"/>
  <c r="N186" i="7"/>
  <c r="O186" i="7" s="1"/>
  <c r="P186" i="7" s="1"/>
  <c r="N437" i="7"/>
  <c r="O437" i="7" s="1"/>
  <c r="P437" i="7" s="1"/>
  <c r="N56" i="7"/>
  <c r="O56" i="7" s="1"/>
  <c r="P56" i="7" s="1"/>
  <c r="N23" i="7"/>
  <c r="O23" i="7" s="1"/>
  <c r="P23" i="7" s="1"/>
  <c r="N150" i="7"/>
  <c r="O150" i="7" s="1"/>
  <c r="P150" i="7" s="1"/>
  <c r="N170" i="7"/>
  <c r="O170" i="7" s="1"/>
  <c r="P170" i="7" s="1"/>
  <c r="N24" i="7"/>
  <c r="O24" i="7" s="1"/>
  <c r="P24" i="7" s="1"/>
  <c r="N406" i="7"/>
  <c r="O406" i="7" s="1"/>
  <c r="P406" i="7" s="1"/>
  <c r="N569" i="7"/>
  <c r="O569" i="7" s="1"/>
  <c r="P569" i="7" s="1"/>
  <c r="N312" i="7"/>
  <c r="O312" i="7" s="1"/>
  <c r="P312" i="7" s="1"/>
  <c r="N297" i="7"/>
  <c r="O297" i="7" s="1"/>
  <c r="P297" i="7" s="1"/>
  <c r="N154" i="7"/>
  <c r="O154" i="7" s="1"/>
  <c r="P154" i="7" s="1"/>
  <c r="N362" i="7"/>
  <c r="O362" i="7" s="1"/>
  <c r="P362" i="7" s="1"/>
  <c r="N176" i="7"/>
  <c r="O176" i="7" s="1"/>
  <c r="P176" i="7" s="1"/>
  <c r="N73" i="7"/>
  <c r="O73" i="7" s="1"/>
  <c r="P73" i="7" s="1"/>
  <c r="N160" i="7"/>
  <c r="O160" i="7" s="1"/>
  <c r="P160" i="7" s="1"/>
  <c r="N8" i="7"/>
  <c r="O8" i="7" s="1"/>
  <c r="P8" i="7" s="1"/>
  <c r="N3" i="7"/>
  <c r="O3" i="7" s="1"/>
  <c r="P3" i="7" s="1"/>
  <c r="N421" i="7"/>
  <c r="O421" i="7" s="1"/>
  <c r="P421" i="7" s="1"/>
  <c r="N226" i="7"/>
  <c r="O226" i="7" s="1"/>
  <c r="P226" i="7" s="1"/>
  <c r="N528" i="7"/>
  <c r="O528" i="7" s="1"/>
  <c r="P528" i="7" s="1"/>
  <c r="N64" i="7"/>
  <c r="O64" i="7" s="1"/>
  <c r="P64" i="7" s="1"/>
  <c r="N475" i="7"/>
  <c r="O475" i="7" s="1"/>
  <c r="P475" i="7" s="1"/>
  <c r="N183" i="7"/>
  <c r="O183" i="7" s="1"/>
  <c r="P183" i="7" s="1"/>
  <c r="N263" i="7"/>
  <c r="O263" i="7" s="1"/>
  <c r="P263" i="7" s="1"/>
  <c r="N512" i="7"/>
  <c r="O512" i="7" s="1"/>
  <c r="P512" i="7" s="1"/>
  <c r="N304" i="7"/>
  <c r="O304" i="7" s="1"/>
  <c r="P304" i="7" s="1"/>
  <c r="N48" i="7"/>
  <c r="O48" i="7" s="1"/>
  <c r="P48" i="7" s="1"/>
  <c r="N132" i="7"/>
  <c r="O132" i="7" s="1"/>
  <c r="P132" i="7" s="1"/>
  <c r="N265" i="7"/>
  <c r="O265" i="7" s="1"/>
  <c r="P265" i="7" s="1"/>
  <c r="N457" i="7"/>
  <c r="O457" i="7" s="1"/>
  <c r="P457" i="7" s="1"/>
  <c r="N462" i="7"/>
  <c r="O462" i="7" s="1"/>
  <c r="P462" i="7" s="1"/>
  <c r="N200" i="7"/>
  <c r="O200" i="7" s="1"/>
  <c r="P200" i="7" s="1"/>
  <c r="N266" i="7"/>
  <c r="O266" i="7" s="1"/>
  <c r="P266" i="7" s="1"/>
  <c r="N441" i="7"/>
  <c r="O441" i="7" s="1"/>
  <c r="P441" i="7" s="1"/>
  <c r="N524" i="7"/>
  <c r="O524" i="7" s="1"/>
  <c r="P524" i="7" s="1"/>
  <c r="N42" i="7"/>
  <c r="O42" i="7" s="1"/>
  <c r="P42" i="7" s="1"/>
  <c r="N295" i="7"/>
  <c r="O295" i="7" s="1"/>
  <c r="P295" i="7" s="1"/>
  <c r="N250" i="7"/>
  <c r="O250" i="7" s="1"/>
  <c r="P250" i="7" s="1"/>
  <c r="N425" i="7"/>
  <c r="O425" i="7" s="1"/>
  <c r="P425" i="7" s="1"/>
  <c r="N501" i="7"/>
  <c r="O501" i="7" s="1"/>
  <c r="P501" i="7" s="1"/>
  <c r="N564" i="7"/>
  <c r="O564" i="7" s="1"/>
  <c r="P564" i="7" s="1"/>
  <c r="N174" i="7"/>
  <c r="O174" i="7" s="1"/>
  <c r="P174" i="7" s="1"/>
  <c r="N363" i="7"/>
  <c r="O363" i="7" s="1"/>
  <c r="P363" i="7" s="1"/>
  <c r="N440" i="7"/>
  <c r="O440" i="7" s="1"/>
  <c r="P440" i="7" s="1"/>
  <c r="N247" i="7"/>
  <c r="O247" i="7" s="1"/>
  <c r="P247" i="7" s="1"/>
  <c r="N28" i="7"/>
  <c r="O28" i="7" s="1"/>
  <c r="P28" i="7" s="1"/>
  <c r="N289" i="7"/>
  <c r="O289" i="7" s="1"/>
  <c r="P289" i="7" s="1"/>
  <c r="N490" i="7"/>
  <c r="O490" i="7" s="1"/>
  <c r="P490" i="7" s="1"/>
  <c r="N153" i="7"/>
  <c r="O153" i="7" s="1"/>
  <c r="P153" i="7" s="1"/>
  <c r="N414" i="7"/>
  <c r="O414" i="7" s="1"/>
  <c r="P414" i="7" s="1"/>
  <c r="N10" i="7"/>
  <c r="O10" i="7" s="1"/>
  <c r="P10" i="7" s="1"/>
  <c r="N347" i="7"/>
  <c r="O347" i="7" s="1"/>
  <c r="P347" i="7" s="1"/>
  <c r="N91" i="7"/>
  <c r="O91" i="7" s="1"/>
  <c r="P91" i="7" s="1"/>
  <c r="N424" i="7"/>
  <c r="O424" i="7" s="1"/>
  <c r="P424" i="7" s="1"/>
  <c r="N229" i="7"/>
  <c r="O229" i="7" s="1"/>
  <c r="P229" i="7" s="1"/>
  <c r="N191" i="7"/>
  <c r="O191" i="7" s="1"/>
  <c r="P191" i="7" s="1"/>
  <c r="N404" i="7"/>
  <c r="O404" i="7" s="1"/>
  <c r="P404" i="7" s="1"/>
  <c r="N209" i="7"/>
  <c r="O209" i="7" s="1"/>
  <c r="P209" i="7" s="1"/>
  <c r="N236" i="7"/>
  <c r="O236" i="7" s="1"/>
  <c r="P236" i="7" s="1"/>
  <c r="N474" i="7"/>
  <c r="O474" i="7" s="1"/>
  <c r="P474" i="7" s="1"/>
  <c r="N218" i="7"/>
  <c r="O218" i="7" s="1"/>
  <c r="P218" i="7" s="1"/>
  <c r="N393" i="7"/>
  <c r="O393" i="7" s="1"/>
  <c r="P393" i="7" s="1"/>
  <c r="N137" i="7"/>
  <c r="O137" i="7" s="1"/>
  <c r="P137" i="7" s="1"/>
  <c r="N331" i="7"/>
  <c r="O331" i="7" s="1"/>
  <c r="P331" i="7" s="1"/>
  <c r="N75" i="7"/>
  <c r="O75" i="7" s="1"/>
  <c r="P75" i="7" s="1"/>
  <c r="N408" i="7"/>
  <c r="O408" i="7" s="1"/>
  <c r="P408" i="7" s="1"/>
  <c r="N458" i="7"/>
  <c r="O458" i="7" s="1"/>
  <c r="P458" i="7" s="1"/>
  <c r="N202" i="7"/>
  <c r="O202" i="7" s="1"/>
  <c r="P202" i="7" s="1"/>
  <c r="N377" i="7"/>
  <c r="O377" i="7" s="1"/>
  <c r="P377" i="7" s="1"/>
  <c r="N121" i="7"/>
  <c r="O121" i="7" s="1"/>
  <c r="P121" i="7" s="1"/>
  <c r="N272" i="7"/>
  <c r="O272" i="7" s="1"/>
  <c r="P272" i="7" s="1"/>
  <c r="N16" i="7"/>
  <c r="O16" i="7" s="1"/>
  <c r="P16" i="7" s="1"/>
  <c r="N382" i="7"/>
  <c r="O382" i="7" s="1"/>
  <c r="P382" i="7" s="1"/>
  <c r="N126" i="7"/>
  <c r="O126" i="7" s="1"/>
  <c r="P126" i="7" s="1"/>
  <c r="N460" i="7"/>
  <c r="O460" i="7" s="1"/>
  <c r="P460" i="7" s="1"/>
  <c r="N427" i="7"/>
  <c r="O427" i="7" s="1"/>
  <c r="P427" i="7" s="1"/>
  <c r="N485" i="7"/>
  <c r="O485" i="7" s="1"/>
  <c r="P485" i="7" s="1"/>
  <c r="N315" i="7"/>
  <c r="O315" i="7" s="1"/>
  <c r="P315" i="7" s="1"/>
  <c r="N59" i="7"/>
  <c r="O59" i="7" s="1"/>
  <c r="P59" i="7" s="1"/>
  <c r="N71" i="7"/>
  <c r="O71" i="7" s="1"/>
  <c r="P71" i="7" s="1"/>
  <c r="N392" i="7"/>
  <c r="O392" i="7" s="1"/>
  <c r="P392" i="7" s="1"/>
  <c r="N120" i="7"/>
  <c r="O120" i="7" s="1"/>
  <c r="P120" i="7" s="1"/>
  <c r="N135" i="7"/>
  <c r="O135" i="7" s="1"/>
  <c r="P135" i="7" s="1"/>
  <c r="N551" i="7"/>
  <c r="O551" i="7" s="1"/>
  <c r="P551" i="7" s="1"/>
  <c r="N197" i="7"/>
  <c r="O197" i="7" s="1"/>
  <c r="P197" i="7" s="1"/>
  <c r="N204" i="7"/>
  <c r="O204" i="7" s="1"/>
  <c r="P204" i="7" s="1"/>
  <c r="N372" i="7"/>
  <c r="O372" i="7" s="1"/>
  <c r="P372" i="7" s="1"/>
  <c r="N81" i="7"/>
  <c r="O81" i="7" s="1"/>
  <c r="P81" i="7" s="1"/>
  <c r="N65" i="7"/>
  <c r="O65" i="7" s="1"/>
  <c r="P65" i="7" s="1"/>
  <c r="N442" i="7"/>
  <c r="O442" i="7" s="1"/>
  <c r="P442" i="7" s="1"/>
  <c r="N361" i="7"/>
  <c r="O361" i="7" s="1"/>
  <c r="P361" i="7" s="1"/>
  <c r="N105" i="7"/>
  <c r="O105" i="7" s="1"/>
  <c r="P105" i="7" s="1"/>
  <c r="N256" i="7"/>
  <c r="O256" i="7" s="1"/>
  <c r="P256" i="7" s="1"/>
  <c r="N411" i="7"/>
  <c r="O411" i="7" s="1"/>
  <c r="P411" i="7" s="1"/>
  <c r="N469" i="7"/>
  <c r="O469" i="7" s="1"/>
  <c r="P469" i="7" s="1"/>
  <c r="N299" i="7"/>
  <c r="O299" i="7" s="1"/>
  <c r="P299" i="7" s="1"/>
  <c r="N43" i="7"/>
  <c r="O43" i="7" s="1"/>
  <c r="P43" i="7" s="1"/>
  <c r="N7" i="7"/>
  <c r="O7" i="7" s="1"/>
  <c r="P7" i="7" s="1"/>
  <c r="N376" i="7"/>
  <c r="O376" i="7" s="1"/>
  <c r="P376" i="7" s="1"/>
  <c r="N87" i="7"/>
  <c r="O87" i="7" s="1"/>
  <c r="P87" i="7" s="1"/>
  <c r="N181" i="7"/>
  <c r="O181" i="7" s="1"/>
  <c r="P181" i="7" s="1"/>
  <c r="N356" i="7"/>
  <c r="O356" i="7" s="1"/>
  <c r="P356" i="7" s="1"/>
  <c r="N17" i="7"/>
  <c r="O17" i="7" s="1"/>
  <c r="P17" i="7" s="1"/>
  <c r="N207" i="7"/>
  <c r="O207" i="7" s="1"/>
  <c r="P207" i="7" s="1"/>
  <c r="N281" i="7"/>
  <c r="O281" i="7" s="1"/>
  <c r="P281" i="7" s="1"/>
  <c r="N521" i="7"/>
  <c r="O521" i="7" s="1"/>
  <c r="P521" i="7" s="1"/>
  <c r="N104" i="7"/>
  <c r="O104" i="7" s="1"/>
  <c r="P104" i="7" s="1"/>
  <c r="N533" i="7"/>
  <c r="O533" i="7" s="1"/>
  <c r="P533" i="7" s="1"/>
  <c r="N206" i="7"/>
  <c r="O206" i="7" s="1"/>
  <c r="P206" i="7" s="1"/>
  <c r="N507" i="7"/>
  <c r="O507" i="7" s="1"/>
  <c r="P507" i="7" s="1"/>
  <c r="N185" i="7"/>
  <c r="O185" i="7" s="1"/>
  <c r="P185" i="7" s="1"/>
  <c r="N517" i="7"/>
  <c r="O517" i="7" s="1"/>
  <c r="P517" i="7" s="1"/>
  <c r="N190" i="7"/>
  <c r="O190" i="7" s="1"/>
  <c r="P190" i="7" s="1"/>
  <c r="N436" i="7"/>
  <c r="O436" i="7" s="1"/>
  <c r="P436" i="7" s="1"/>
  <c r="N282" i="7"/>
  <c r="O282" i="7" s="1"/>
  <c r="P282" i="7" s="1"/>
  <c r="N201" i="7"/>
  <c r="O201" i="7" s="1"/>
  <c r="P201" i="7" s="1"/>
  <c r="N540" i="7"/>
  <c r="O540" i="7" s="1"/>
  <c r="P540" i="7" s="1"/>
  <c r="N452" i="7"/>
  <c r="O452" i="7" s="1"/>
  <c r="P452" i="7" s="1"/>
  <c r="N446" i="7"/>
  <c r="O446" i="7" s="1"/>
  <c r="P446" i="7" s="1"/>
  <c r="N506" i="7"/>
  <c r="O506" i="7" s="1"/>
  <c r="P506" i="7" s="1"/>
  <c r="N169" i="7"/>
  <c r="O169" i="7" s="1"/>
  <c r="P169" i="7" s="1"/>
  <c r="N320" i="7"/>
  <c r="O320" i="7" s="1"/>
  <c r="P320" i="7" s="1"/>
  <c r="N430" i="7"/>
  <c r="O430" i="7" s="1"/>
  <c r="P430" i="7" s="1"/>
  <c r="N508" i="7"/>
  <c r="O508" i="7" s="1"/>
  <c r="P508" i="7" s="1"/>
  <c r="N26" i="7"/>
  <c r="O26" i="7" s="1"/>
  <c r="P26" i="7" s="1"/>
  <c r="N107" i="7"/>
  <c r="O107" i="7" s="1"/>
  <c r="P107" i="7" s="1"/>
  <c r="N168" i="7"/>
  <c r="O168" i="7" s="1"/>
  <c r="P168" i="7" s="1"/>
  <c r="N245" i="7"/>
  <c r="O245" i="7" s="1"/>
  <c r="P245" i="7" s="1"/>
  <c r="N420" i="7"/>
  <c r="O420" i="7" s="1"/>
  <c r="P420" i="7" s="1"/>
  <c r="N257" i="7"/>
  <c r="O257" i="7" s="1"/>
  <c r="P257" i="7" s="1"/>
  <c r="N273" i="7"/>
  <c r="O273" i="7" s="1"/>
  <c r="P273" i="7" s="1"/>
  <c r="N234" i="7"/>
  <c r="O234" i="7" s="1"/>
  <c r="P234" i="7" s="1"/>
  <c r="N409" i="7"/>
  <c r="O409" i="7" s="1"/>
  <c r="P409" i="7" s="1"/>
  <c r="N548" i="7"/>
  <c r="O548" i="7" s="1"/>
  <c r="P548" i="7" s="1"/>
  <c r="N158" i="7"/>
  <c r="O158" i="7" s="1"/>
  <c r="P158" i="7" s="1"/>
  <c r="N492" i="7"/>
  <c r="O492" i="7" s="1"/>
  <c r="P492" i="7" s="1"/>
  <c r="N459" i="7"/>
  <c r="O459" i="7" s="1"/>
  <c r="P459" i="7" s="1"/>
  <c r="N151" i="7"/>
  <c r="O151" i="7" s="1"/>
  <c r="P151" i="7" s="1"/>
  <c r="N215" i="7"/>
  <c r="O215" i="7" s="1"/>
  <c r="P215" i="7" s="1"/>
  <c r="N435" i="7"/>
  <c r="O435" i="7" s="1"/>
  <c r="P435" i="7" s="1"/>
  <c r="N179" i="7"/>
  <c r="O179" i="7" s="1"/>
  <c r="P179" i="7" s="1"/>
  <c r="N193" i="7"/>
  <c r="O193" i="7" s="1"/>
  <c r="P193" i="7" s="1"/>
  <c r="N402" i="7"/>
  <c r="O402" i="7" s="1"/>
  <c r="P402" i="7" s="1"/>
  <c r="N146" i="7"/>
  <c r="O146" i="7" s="1"/>
  <c r="P146" i="7" s="1"/>
  <c r="N288" i="7"/>
  <c r="O288" i="7" s="1"/>
  <c r="P288" i="7" s="1"/>
  <c r="N32" i="7"/>
  <c r="O32" i="7" s="1"/>
  <c r="P32" i="7" s="1"/>
  <c r="N398" i="7"/>
  <c r="O398" i="7" s="1"/>
  <c r="P398" i="7" s="1"/>
  <c r="N142" i="7"/>
  <c r="O142" i="7" s="1"/>
  <c r="P142" i="7" s="1"/>
  <c r="N476" i="7"/>
  <c r="O476" i="7" s="1"/>
  <c r="P476" i="7" s="1"/>
  <c r="N443" i="7"/>
  <c r="O443" i="7" s="1"/>
  <c r="P443" i="7" s="1"/>
  <c r="N103" i="7"/>
  <c r="O103" i="7" s="1"/>
  <c r="P103" i="7" s="1"/>
  <c r="N167" i="7"/>
  <c r="O167" i="7" s="1"/>
  <c r="P167" i="7" s="1"/>
  <c r="N567" i="7"/>
  <c r="O567" i="7" s="1"/>
  <c r="P567" i="7" s="1"/>
  <c r="N213" i="7"/>
  <c r="O213" i="7" s="1"/>
  <c r="P213" i="7" s="1"/>
  <c r="N348" i="7"/>
  <c r="O348" i="7" s="1"/>
  <c r="P348" i="7" s="1"/>
  <c r="N388" i="7"/>
  <c r="O388" i="7" s="1"/>
  <c r="P388" i="7" s="1"/>
  <c r="N145" i="7"/>
  <c r="O145" i="7" s="1"/>
  <c r="P145" i="7" s="1"/>
  <c r="N419" i="7"/>
  <c r="O419" i="7" s="1"/>
  <c r="P419" i="7" s="1"/>
  <c r="N163" i="7"/>
  <c r="O163" i="7" s="1"/>
  <c r="P163" i="7" s="1"/>
  <c r="N129" i="7"/>
  <c r="O129" i="7" s="1"/>
  <c r="P129" i="7" s="1"/>
  <c r="N386" i="7"/>
  <c r="O386" i="7" s="1"/>
  <c r="P386" i="7" s="1"/>
  <c r="N130" i="7"/>
  <c r="O130" i="7" s="1"/>
  <c r="P130" i="7" s="1"/>
  <c r="N519" i="7"/>
  <c r="O519" i="7" s="1"/>
  <c r="P519" i="7" s="1"/>
  <c r="N124" i="7"/>
  <c r="O124" i="7" s="1"/>
  <c r="P124" i="7" s="1"/>
  <c r="N387" i="7"/>
  <c r="O387" i="7" s="1"/>
  <c r="P387" i="7" s="1"/>
  <c r="N131" i="7"/>
  <c r="O131" i="7" s="1"/>
  <c r="P131" i="7" s="1"/>
  <c r="N354" i="7"/>
  <c r="O354" i="7" s="1"/>
  <c r="P354" i="7" s="1"/>
  <c r="N98" i="7"/>
  <c r="O98" i="7" s="1"/>
  <c r="P98" i="7" s="1"/>
  <c r="N340" i="7"/>
  <c r="O340" i="7" s="1"/>
  <c r="P340" i="7" s="1"/>
  <c r="N371" i="7"/>
  <c r="O371" i="7" s="1"/>
  <c r="P371" i="7" s="1"/>
  <c r="N115" i="7"/>
  <c r="O115" i="7" s="1"/>
  <c r="P115" i="7" s="1"/>
  <c r="N338" i="7"/>
  <c r="O338" i="7" s="1"/>
  <c r="P338" i="7" s="1"/>
  <c r="N496" i="7"/>
  <c r="O496" i="7" s="1"/>
  <c r="P496" i="7" s="1"/>
  <c r="N480" i="7"/>
  <c r="O480" i="7" s="1"/>
  <c r="P480" i="7" s="1"/>
  <c r="N267" i="7"/>
  <c r="O267" i="7" s="1"/>
  <c r="P267" i="7" s="1"/>
  <c r="N11" i="7"/>
  <c r="O11" i="7" s="1"/>
  <c r="P11" i="7" s="1"/>
  <c r="N156" i="7"/>
  <c r="O156" i="7" s="1"/>
  <c r="P156" i="7" s="1"/>
  <c r="N328" i="7"/>
  <c r="O328" i="7" s="1"/>
  <c r="P328" i="7" s="1"/>
  <c r="N375" i="7"/>
  <c r="O375" i="7" s="1"/>
  <c r="P375" i="7" s="1"/>
  <c r="N149" i="7"/>
  <c r="O149" i="7" s="1"/>
  <c r="P149" i="7" s="1"/>
  <c r="N261" i="7"/>
  <c r="O261" i="7" s="1"/>
  <c r="P261" i="7" s="1"/>
  <c r="N324" i="7"/>
  <c r="O324" i="7" s="1"/>
  <c r="P324" i="7" s="1"/>
  <c r="N332" i="7"/>
  <c r="O332" i="7" s="1"/>
  <c r="P332" i="7" s="1"/>
  <c r="N355" i="7"/>
  <c r="O355" i="7" s="1"/>
  <c r="P355" i="7" s="1"/>
  <c r="N99" i="7"/>
  <c r="O99" i="7" s="1"/>
  <c r="P99" i="7" s="1"/>
  <c r="N322" i="7"/>
  <c r="O322" i="7" s="1"/>
  <c r="P322" i="7" s="1"/>
  <c r="N66" i="7"/>
  <c r="O66" i="7" s="1"/>
  <c r="P66" i="7" s="1"/>
  <c r="N147" i="7"/>
  <c r="O147" i="7" s="1"/>
  <c r="P147" i="7" s="1"/>
  <c r="N394" i="7"/>
  <c r="O394" i="7" s="1"/>
  <c r="P394" i="7" s="1"/>
  <c r="N313" i="7"/>
  <c r="O313" i="7" s="1"/>
  <c r="P313" i="7" s="1"/>
  <c r="N464" i="7"/>
  <c r="O464" i="7" s="1"/>
  <c r="P464" i="7" s="1"/>
  <c r="N208" i="7"/>
  <c r="O208" i="7" s="1"/>
  <c r="P208" i="7" s="1"/>
  <c r="N318" i="7"/>
  <c r="O318" i="7" s="1"/>
  <c r="P318" i="7" s="1"/>
  <c r="N251" i="7"/>
  <c r="O251" i="7" s="1"/>
  <c r="P251" i="7" s="1"/>
  <c r="N316" i="7"/>
  <c r="O316" i="7" s="1"/>
  <c r="P316" i="7" s="1"/>
  <c r="N76" i="7"/>
  <c r="O76" i="7" s="1"/>
  <c r="P76" i="7" s="1"/>
  <c r="N344" i="7"/>
  <c r="O344" i="7" s="1"/>
  <c r="P344" i="7" s="1"/>
  <c r="N133" i="7"/>
  <c r="O133" i="7" s="1"/>
  <c r="P133" i="7" s="1"/>
  <c r="N225" i="7"/>
  <c r="O225" i="7" s="1"/>
  <c r="P225" i="7" s="1"/>
  <c r="N308" i="7"/>
  <c r="O308" i="7" s="1"/>
  <c r="P308" i="7" s="1"/>
  <c r="N140" i="7"/>
  <c r="O140" i="7" s="1"/>
  <c r="P140" i="7" s="1"/>
  <c r="N339" i="7"/>
  <c r="O339" i="7" s="1"/>
  <c r="P339" i="7" s="1"/>
  <c r="N83" i="7"/>
  <c r="O83" i="7" s="1"/>
  <c r="P83" i="7" s="1"/>
  <c r="N562" i="7"/>
  <c r="O562" i="7" s="1"/>
  <c r="P562" i="7" s="1"/>
  <c r="N306" i="7"/>
  <c r="O306" i="7" s="1"/>
  <c r="P306" i="7" s="1"/>
  <c r="N50" i="7"/>
  <c r="O50" i="7" s="1"/>
  <c r="P50" i="7" s="1"/>
  <c r="N114" i="7"/>
  <c r="O114" i="7" s="1"/>
  <c r="P114" i="7" s="1"/>
  <c r="N378" i="7"/>
  <c r="O378" i="7" s="1"/>
  <c r="P378" i="7" s="1"/>
  <c r="N553" i="7"/>
  <c r="O553" i="7" s="1"/>
  <c r="P553" i="7" s="1"/>
  <c r="N448" i="7"/>
  <c r="O448" i="7" s="1"/>
  <c r="P448" i="7" s="1"/>
  <c r="N558" i="7"/>
  <c r="O558" i="7" s="1"/>
  <c r="P558" i="7" s="1"/>
  <c r="N302" i="7"/>
  <c r="O302" i="7" s="1"/>
  <c r="P302" i="7" s="1"/>
  <c r="N405" i="7"/>
  <c r="O405" i="7" s="1"/>
  <c r="P405" i="7" s="1"/>
  <c r="N235" i="7"/>
  <c r="O235" i="7" s="1"/>
  <c r="P235" i="7" s="1"/>
  <c r="N188" i="7"/>
  <c r="O188" i="7" s="1"/>
  <c r="P188" i="7" s="1"/>
  <c r="N89" i="7"/>
  <c r="O89" i="7" s="1"/>
  <c r="P89" i="7" s="1"/>
  <c r="N568" i="7"/>
  <c r="O568" i="7" s="1"/>
  <c r="P568" i="7" s="1"/>
  <c r="N199" i="7"/>
  <c r="O199" i="7" s="1"/>
  <c r="P199" i="7" s="1"/>
  <c r="N117" i="7"/>
  <c r="O117" i="7" s="1"/>
  <c r="P117" i="7" s="1"/>
  <c r="N95" i="7"/>
  <c r="O95" i="7" s="1"/>
  <c r="P95" i="7" s="1"/>
  <c r="N292" i="7"/>
  <c r="O292" i="7" s="1"/>
  <c r="P292" i="7" s="1"/>
  <c r="N60" i="7"/>
  <c r="O60" i="7" s="1"/>
  <c r="P60" i="7" s="1"/>
  <c r="N323" i="7"/>
  <c r="O323" i="7" s="1"/>
  <c r="P323" i="7" s="1"/>
  <c r="N67" i="7"/>
  <c r="O67" i="7" s="1"/>
  <c r="P67" i="7" s="1"/>
  <c r="N546" i="7"/>
  <c r="O546" i="7" s="1"/>
  <c r="P546" i="7" s="1"/>
  <c r="N290" i="7"/>
  <c r="O290" i="7" s="1"/>
  <c r="P290" i="7" s="1"/>
  <c r="N34" i="7"/>
  <c r="O34" i="7" s="1"/>
  <c r="P34" i="7" s="1"/>
  <c r="N537" i="7"/>
  <c r="O537" i="7" s="1"/>
  <c r="P537" i="7" s="1"/>
  <c r="N432" i="7"/>
  <c r="O432" i="7" s="1"/>
  <c r="P432" i="7" s="1"/>
  <c r="N542" i="7"/>
  <c r="O542" i="7" s="1"/>
  <c r="P542" i="7" s="1"/>
  <c r="N286" i="7"/>
  <c r="O286" i="7" s="1"/>
  <c r="P286" i="7" s="1"/>
  <c r="N138" i="7"/>
  <c r="O138" i="7" s="1"/>
  <c r="P138" i="7" s="1"/>
  <c r="N389" i="7"/>
  <c r="O389" i="7" s="1"/>
  <c r="P389" i="7" s="1"/>
  <c r="N219" i="7"/>
  <c r="O219" i="7" s="1"/>
  <c r="P219" i="7" s="1"/>
  <c r="N108" i="7"/>
  <c r="O108" i="7" s="1"/>
  <c r="P108" i="7" s="1"/>
  <c r="N552" i="7"/>
  <c r="O552" i="7" s="1"/>
  <c r="P552" i="7" s="1"/>
  <c r="N535" i="7"/>
  <c r="O535" i="7" s="1"/>
  <c r="P535" i="7" s="1"/>
  <c r="N119" i="7"/>
  <c r="O119" i="7" s="1"/>
  <c r="P119" i="7" s="1"/>
  <c r="N101" i="7"/>
  <c r="O101" i="7" s="1"/>
  <c r="P101" i="7" s="1"/>
  <c r="N532" i="7"/>
  <c r="O532" i="7" s="1"/>
  <c r="P532" i="7" s="1"/>
  <c r="N276" i="7"/>
  <c r="O276" i="7" s="1"/>
  <c r="P276" i="7" s="1"/>
  <c r="N563" i="7"/>
  <c r="O563" i="7" s="1"/>
  <c r="P563" i="7" s="1"/>
  <c r="N307" i="7"/>
  <c r="O307" i="7" s="1"/>
  <c r="P307" i="7" s="1"/>
  <c r="N51" i="7"/>
  <c r="O51" i="7" s="1"/>
  <c r="P51" i="7" s="1"/>
  <c r="N530" i="7"/>
  <c r="O530" i="7" s="1"/>
  <c r="P530" i="7" s="1"/>
  <c r="N274" i="7"/>
  <c r="O274" i="7" s="1"/>
  <c r="P274" i="7" s="1"/>
  <c r="N18" i="7"/>
  <c r="O18" i="7" s="1"/>
  <c r="P18" i="7" s="1"/>
  <c r="N366" i="7"/>
  <c r="O366" i="7" s="1"/>
  <c r="P366" i="7" s="1"/>
  <c r="N350" i="7"/>
  <c r="O350" i="7" s="1"/>
  <c r="P350" i="7" s="1"/>
  <c r="N428" i="7"/>
  <c r="O428" i="7" s="1"/>
  <c r="P428" i="7" s="1"/>
  <c r="N346" i="7"/>
  <c r="O346" i="7" s="1"/>
  <c r="P346" i="7" s="1"/>
  <c r="N416" i="7"/>
  <c r="O416" i="7" s="1"/>
  <c r="P416" i="7" s="1"/>
  <c r="N526" i="7"/>
  <c r="O526" i="7" s="1"/>
  <c r="P526" i="7" s="1"/>
  <c r="N270" i="7"/>
  <c r="O270" i="7" s="1"/>
  <c r="P270" i="7" s="1"/>
  <c r="N122" i="7"/>
  <c r="O122" i="7" s="1"/>
  <c r="P122" i="7" s="1"/>
  <c r="N373" i="7"/>
  <c r="O373" i="7" s="1"/>
  <c r="P373" i="7" s="1"/>
  <c r="N203" i="7"/>
  <c r="O203" i="7" s="1"/>
  <c r="P203" i="7" s="1"/>
  <c r="N57" i="7"/>
  <c r="O57" i="7" s="1"/>
  <c r="P57" i="7" s="1"/>
  <c r="N536" i="7"/>
  <c r="O536" i="7" s="1"/>
  <c r="P536" i="7" s="1"/>
  <c r="N503" i="7"/>
  <c r="O503" i="7" s="1"/>
  <c r="P503" i="7" s="1"/>
  <c r="N85" i="7"/>
  <c r="O85" i="7" s="1"/>
  <c r="P85" i="7" s="1"/>
  <c r="N516" i="7"/>
  <c r="O516" i="7" s="1"/>
  <c r="P516" i="7" s="1"/>
  <c r="N260" i="7"/>
  <c r="O260" i="7" s="1"/>
  <c r="P260" i="7" s="1"/>
  <c r="N547" i="7"/>
  <c r="O547" i="7" s="1"/>
  <c r="P547" i="7" s="1"/>
  <c r="N403" i="7"/>
  <c r="O403" i="7" s="1"/>
  <c r="P403" i="7" s="1"/>
  <c r="N110" i="7"/>
  <c r="O110" i="7" s="1"/>
  <c r="P110" i="7" s="1"/>
  <c r="N538" i="7"/>
  <c r="O538" i="7" s="1"/>
  <c r="P538" i="7" s="1"/>
  <c r="N560" i="7"/>
  <c r="O560" i="7" s="1"/>
  <c r="P560" i="7" s="1"/>
  <c r="N352" i="7"/>
  <c r="O352" i="7" s="1"/>
  <c r="P352" i="7" s="1"/>
  <c r="N96" i="7"/>
  <c r="O96" i="7" s="1"/>
  <c r="P96" i="7" s="1"/>
  <c r="N58" i="7"/>
  <c r="O58" i="7" s="1"/>
  <c r="P58" i="7" s="1"/>
  <c r="N309" i="7"/>
  <c r="O309" i="7" s="1"/>
  <c r="P309" i="7" s="1"/>
  <c r="N139" i="7"/>
  <c r="O139" i="7" s="1"/>
  <c r="P139" i="7" s="1"/>
  <c r="N472" i="7"/>
  <c r="O472" i="7" s="1"/>
  <c r="P472" i="7" s="1"/>
  <c r="N343" i="7"/>
  <c r="O343" i="7" s="1"/>
  <c r="P343" i="7" s="1"/>
  <c r="N311" i="7"/>
  <c r="O311" i="7" s="1"/>
  <c r="P311" i="7" s="1"/>
  <c r="N293" i="7"/>
  <c r="O293" i="7" s="1"/>
  <c r="P293" i="7" s="1"/>
  <c r="N21" i="7"/>
  <c r="O21" i="7" s="1"/>
  <c r="P21" i="7" s="1"/>
  <c r="N385" i="7"/>
  <c r="O385" i="7" s="1"/>
  <c r="P385" i="7" s="1"/>
  <c r="N483" i="7"/>
  <c r="O483" i="7" s="1"/>
  <c r="P483" i="7" s="1"/>
  <c r="N227" i="7"/>
  <c r="O227" i="7" s="1"/>
  <c r="P227" i="7" s="1"/>
  <c r="N401" i="7"/>
  <c r="O401" i="7" s="1"/>
  <c r="P401" i="7" s="1"/>
  <c r="N450" i="7"/>
  <c r="O450" i="7" s="1"/>
  <c r="P450" i="7" s="1"/>
  <c r="N194" i="7"/>
  <c r="O194" i="7" s="1"/>
  <c r="P194" i="7" s="1"/>
  <c r="N370" i="7"/>
  <c r="O370" i="7" s="1"/>
  <c r="P370" i="7" s="1"/>
  <c r="N444" i="7"/>
  <c r="O444" i="7" s="1"/>
  <c r="P444" i="7" s="1"/>
  <c r="N522" i="7"/>
  <c r="O522" i="7" s="1"/>
  <c r="P522" i="7" s="1"/>
  <c r="N544" i="7"/>
  <c r="O544" i="7" s="1"/>
  <c r="P544" i="7" s="1"/>
  <c r="N336" i="7"/>
  <c r="O336" i="7" s="1"/>
  <c r="P336" i="7" s="1"/>
  <c r="N80" i="7"/>
  <c r="O80" i="7" s="1"/>
  <c r="P80" i="7" s="1"/>
  <c r="N491" i="7"/>
  <c r="O491" i="7" s="1"/>
  <c r="P491" i="7" s="1"/>
  <c r="N379" i="7"/>
  <c r="O379" i="7" s="1"/>
  <c r="P379" i="7" s="1"/>
  <c r="N123" i="7"/>
  <c r="O123" i="7" s="1"/>
  <c r="P123" i="7" s="1"/>
  <c r="N231" i="7"/>
  <c r="O231" i="7" s="1"/>
  <c r="P231" i="7" s="1"/>
  <c r="N456" i="7"/>
  <c r="O456" i="7" s="1"/>
  <c r="P456" i="7" s="1"/>
  <c r="N220" i="7"/>
  <c r="O220" i="7" s="1"/>
  <c r="P220" i="7" s="1"/>
  <c r="N277" i="7"/>
  <c r="O277" i="7" s="1"/>
  <c r="P277" i="7" s="1"/>
  <c r="N5" i="7"/>
  <c r="O5" i="7" s="1"/>
  <c r="P5" i="7" s="1"/>
  <c r="N337" i="7"/>
  <c r="O337" i="7" s="1"/>
  <c r="P337" i="7" s="1"/>
  <c r="N467" i="7"/>
  <c r="O467" i="7" s="1"/>
  <c r="P467" i="7" s="1"/>
  <c r="N211" i="7"/>
  <c r="O211" i="7" s="1"/>
  <c r="P211" i="7" s="1"/>
  <c r="N353" i="7"/>
  <c r="O353" i="7" s="1"/>
  <c r="P353" i="7" s="1"/>
  <c r="N434" i="7"/>
  <c r="O434" i="7" s="1"/>
  <c r="P434" i="7" s="1"/>
  <c r="N178" i="7"/>
  <c r="O178" i="7" s="1"/>
  <c r="P178" i="7" s="1"/>
  <c r="N223" i="7"/>
  <c r="O223" i="7" s="1"/>
  <c r="P223" i="7" s="1"/>
  <c r="N451" i="7"/>
  <c r="O451" i="7" s="1"/>
  <c r="P451" i="7" s="1"/>
  <c r="N195" i="7"/>
  <c r="O195" i="7" s="1"/>
  <c r="P195" i="7" s="1"/>
  <c r="N418" i="7"/>
  <c r="O418" i="7" s="1"/>
  <c r="P418" i="7" s="1"/>
  <c r="N162" i="7"/>
  <c r="O162" i="7" s="1"/>
  <c r="P162" i="7" s="1"/>
  <c r="N396" i="7"/>
  <c r="O396" i="7" s="1"/>
  <c r="P396" i="7" s="1"/>
  <c r="N268" i="7"/>
  <c r="O268" i="7" s="1"/>
  <c r="P268" i="7" s="1"/>
  <c r="N255" i="7"/>
  <c r="O255" i="7" s="1"/>
  <c r="P255" i="7" s="1"/>
  <c r="N63" i="7"/>
  <c r="O63" i="7" s="1"/>
  <c r="P63" i="7" s="1"/>
  <c r="N429" i="7"/>
  <c r="O429" i="7" s="1"/>
  <c r="P429" i="7" s="1"/>
  <c r="N173" i="7"/>
  <c r="O173" i="7" s="1"/>
  <c r="P173" i="7" s="1"/>
  <c r="N82" i="7"/>
  <c r="O82" i="7" s="1"/>
  <c r="P82" i="7" s="1"/>
  <c r="N561" i="7"/>
  <c r="O561" i="7" s="1"/>
  <c r="P561" i="7" s="1"/>
  <c r="N239" i="7"/>
  <c r="O239" i="7" s="1"/>
  <c r="P239" i="7" s="1"/>
  <c r="N31" i="7"/>
  <c r="O31" i="7" s="1"/>
  <c r="P31" i="7" s="1"/>
  <c r="N413" i="7"/>
  <c r="O413" i="7" s="1"/>
  <c r="P413" i="7" s="1"/>
  <c r="N157" i="7"/>
  <c r="O157" i="7" s="1"/>
  <c r="P157" i="7" s="1"/>
  <c r="N545" i="7"/>
  <c r="O545" i="7" s="1"/>
  <c r="P545" i="7" s="1"/>
  <c r="N127" i="7"/>
  <c r="O127" i="7" s="1"/>
  <c r="P127" i="7" s="1"/>
  <c r="N94" i="7"/>
  <c r="O94" i="7" s="1"/>
  <c r="P94" i="7" s="1"/>
  <c r="N397" i="7"/>
  <c r="O397" i="7" s="1"/>
  <c r="P397" i="7" s="1"/>
  <c r="N141" i="7"/>
  <c r="O141" i="7" s="1"/>
  <c r="P141" i="7" s="1"/>
  <c r="N529" i="7"/>
  <c r="O529" i="7" s="1"/>
  <c r="P529" i="7" s="1"/>
  <c r="N79" i="7"/>
  <c r="O79" i="7" s="1"/>
  <c r="P79" i="7" s="1"/>
  <c r="N78" i="7"/>
  <c r="O78" i="7" s="1"/>
  <c r="P78" i="7" s="1"/>
  <c r="N381" i="7"/>
  <c r="O381" i="7" s="1"/>
  <c r="P381" i="7" s="1"/>
  <c r="N125" i="7"/>
  <c r="O125" i="7" s="1"/>
  <c r="P125" i="7" s="1"/>
  <c r="N513" i="7"/>
  <c r="O513" i="7" s="1"/>
  <c r="P513" i="7" s="1"/>
  <c r="N47" i="7"/>
  <c r="O47" i="7" s="1"/>
  <c r="P47" i="7" s="1"/>
  <c r="N62" i="7"/>
  <c r="O62" i="7" s="1"/>
  <c r="P62" i="7" s="1"/>
  <c r="N365" i="7"/>
  <c r="O365" i="7" s="1"/>
  <c r="P365" i="7" s="1"/>
  <c r="N109" i="7"/>
  <c r="O109" i="7" s="1"/>
  <c r="P109" i="7" s="1"/>
  <c r="N497" i="7"/>
  <c r="O497" i="7" s="1"/>
  <c r="P497" i="7" s="1"/>
  <c r="N15" i="7"/>
  <c r="O15" i="7" s="1"/>
  <c r="P15" i="7" s="1"/>
  <c r="N543" i="7"/>
  <c r="O543" i="7" s="1"/>
  <c r="P543" i="7" s="1"/>
  <c r="N46" i="7"/>
  <c r="O46" i="7" s="1"/>
  <c r="P46" i="7" s="1"/>
  <c r="N349" i="7"/>
  <c r="O349" i="7" s="1"/>
  <c r="P349" i="7" s="1"/>
  <c r="N93" i="7"/>
  <c r="O93" i="7" s="1"/>
  <c r="P93" i="7" s="1"/>
  <c r="N481" i="7"/>
  <c r="O481" i="7" s="1"/>
  <c r="P481" i="7" s="1"/>
  <c r="N559" i="7"/>
  <c r="O559" i="7" s="1"/>
  <c r="P559" i="7" s="1"/>
  <c r="N511" i="7"/>
  <c r="O511" i="7" s="1"/>
  <c r="P511" i="7" s="1"/>
  <c r="N30" i="7"/>
  <c r="O30" i="7" s="1"/>
  <c r="P30" i="7" s="1"/>
  <c r="N333" i="7"/>
  <c r="O333" i="7" s="1"/>
  <c r="P333" i="7" s="1"/>
  <c r="N77" i="7"/>
  <c r="O77" i="7" s="1"/>
  <c r="P77" i="7" s="1"/>
  <c r="N465" i="7"/>
  <c r="O465" i="7" s="1"/>
  <c r="P465" i="7" s="1"/>
  <c r="N527" i="7"/>
  <c r="O527" i="7" s="1"/>
  <c r="P527" i="7" s="1"/>
  <c r="N479" i="7"/>
  <c r="O479" i="7" s="1"/>
  <c r="P479" i="7" s="1"/>
  <c r="N14" i="7"/>
  <c r="O14" i="7" s="1"/>
  <c r="P14" i="7" s="1"/>
  <c r="N317" i="7"/>
  <c r="O317" i="7" s="1"/>
  <c r="P317" i="7" s="1"/>
  <c r="N61" i="7"/>
  <c r="O61" i="7" s="1"/>
  <c r="P61" i="7" s="1"/>
  <c r="N177" i="7"/>
  <c r="O177" i="7" s="1"/>
  <c r="P177" i="7" s="1"/>
  <c r="N417" i="7"/>
  <c r="O417" i="7" s="1"/>
  <c r="P417" i="7" s="1"/>
  <c r="N495" i="7"/>
  <c r="O495" i="7" s="1"/>
  <c r="P495" i="7" s="1"/>
  <c r="N447" i="7"/>
  <c r="O447" i="7" s="1"/>
  <c r="P447" i="7" s="1"/>
  <c r="N557" i="7"/>
  <c r="O557" i="7" s="1"/>
  <c r="P557" i="7" s="1"/>
  <c r="N301" i="7"/>
  <c r="O301" i="7" s="1"/>
  <c r="P301" i="7" s="1"/>
  <c r="N45" i="7"/>
  <c r="O45" i="7" s="1"/>
  <c r="P45" i="7" s="1"/>
  <c r="N291" i="7"/>
  <c r="O291" i="7" s="1"/>
  <c r="P291" i="7" s="1"/>
  <c r="N35" i="7"/>
  <c r="O35" i="7" s="1"/>
  <c r="P35" i="7" s="1"/>
  <c r="N514" i="7"/>
  <c r="O514" i="7" s="1"/>
  <c r="P514" i="7" s="1"/>
  <c r="N258" i="7"/>
  <c r="O258" i="7" s="1"/>
  <c r="P258" i="7" s="1"/>
  <c r="N330" i="7"/>
  <c r="O330" i="7" s="1"/>
  <c r="P330" i="7" s="1"/>
  <c r="N505" i="7"/>
  <c r="O505" i="7" s="1"/>
  <c r="P505" i="7" s="1"/>
  <c r="N249" i="7"/>
  <c r="O249" i="7" s="1"/>
  <c r="P249" i="7" s="1"/>
  <c r="N400" i="7"/>
  <c r="O400" i="7" s="1"/>
  <c r="P400" i="7" s="1"/>
  <c r="N144" i="7"/>
  <c r="O144" i="7" s="1"/>
  <c r="P144" i="7" s="1"/>
  <c r="N510" i="7"/>
  <c r="O510" i="7" s="1"/>
  <c r="P510" i="7" s="1"/>
  <c r="N254" i="7"/>
  <c r="O254" i="7" s="1"/>
  <c r="P254" i="7" s="1"/>
  <c r="N555" i="7"/>
  <c r="O555" i="7" s="1"/>
  <c r="P555" i="7" s="1"/>
  <c r="N106" i="7"/>
  <c r="O106" i="7" s="1"/>
  <c r="P106" i="7" s="1"/>
  <c r="N357" i="7"/>
  <c r="O357" i="7" s="1"/>
  <c r="P357" i="7" s="1"/>
  <c r="N187" i="7"/>
  <c r="O187" i="7" s="1"/>
  <c r="P187" i="7" s="1"/>
  <c r="N455" i="7"/>
  <c r="O455" i="7" s="1"/>
  <c r="P455" i="7" s="1"/>
  <c r="N41" i="7"/>
  <c r="O41" i="7" s="1"/>
  <c r="P41" i="7" s="1"/>
  <c r="N520" i="7"/>
  <c r="O520" i="7" s="1"/>
  <c r="P520" i="7" s="1"/>
  <c r="N487" i="7"/>
  <c r="O487" i="7" s="1"/>
  <c r="P487" i="7" s="1"/>
  <c r="N69" i="7"/>
  <c r="O69" i="7" s="1"/>
  <c r="P69" i="7" s="1"/>
  <c r="N500" i="7"/>
  <c r="O500" i="7" s="1"/>
  <c r="P500" i="7" s="1"/>
  <c r="N19" i="7"/>
  <c r="O19" i="7" s="1"/>
  <c r="P19" i="7" s="1"/>
  <c r="N531" i="7"/>
  <c r="O531" i="7" s="1"/>
  <c r="P531" i="7" s="1"/>
  <c r="N275" i="7"/>
  <c r="O275" i="7" s="1"/>
  <c r="P275" i="7" s="1"/>
  <c r="N498" i="7"/>
  <c r="O498" i="7" s="1"/>
  <c r="P498" i="7" s="1"/>
  <c r="N242" i="7"/>
  <c r="O242" i="7" s="1"/>
  <c r="P242" i="7" s="1"/>
  <c r="N305" i="7"/>
  <c r="O305" i="7" s="1"/>
  <c r="P305" i="7" s="1"/>
  <c r="N570" i="7"/>
  <c r="O570" i="7" s="1"/>
  <c r="P570" i="7" s="1"/>
  <c r="N314" i="7"/>
  <c r="O314" i="7" s="1"/>
  <c r="P314" i="7" s="1"/>
  <c r="N489" i="7"/>
  <c r="O489" i="7" s="1"/>
  <c r="P489" i="7" s="1"/>
  <c r="N233" i="7"/>
  <c r="O233" i="7" s="1"/>
  <c r="P233" i="7" s="1"/>
  <c r="N565" i="7"/>
  <c r="O565" i="7" s="1"/>
  <c r="P565" i="7" s="1"/>
  <c r="N384" i="7"/>
  <c r="O384" i="7" s="1"/>
  <c r="P384" i="7" s="1"/>
  <c r="N128" i="7"/>
  <c r="O128" i="7" s="1"/>
  <c r="P128" i="7" s="1"/>
  <c r="N494" i="7"/>
  <c r="O494" i="7" s="1"/>
  <c r="P494" i="7" s="1"/>
  <c r="N238" i="7"/>
  <c r="O238" i="7" s="1"/>
  <c r="P238" i="7" s="1"/>
  <c r="N539" i="7"/>
  <c r="O539" i="7" s="1"/>
  <c r="P539" i="7" s="1"/>
  <c r="N90" i="7"/>
  <c r="O90" i="7" s="1"/>
  <c r="P90" i="7" s="1"/>
  <c r="N341" i="7"/>
  <c r="O341" i="7" s="1"/>
  <c r="P341" i="7" s="1"/>
  <c r="N171" i="7"/>
  <c r="O171" i="7" s="1"/>
  <c r="P171" i="7" s="1"/>
  <c r="N391" i="7"/>
  <c r="O391" i="7" s="1"/>
  <c r="P391" i="7" s="1"/>
  <c r="N25" i="7"/>
  <c r="O25" i="7" s="1"/>
  <c r="P25" i="7" s="1"/>
  <c r="N504" i="7"/>
  <c r="O504" i="7" s="1"/>
  <c r="P504" i="7" s="1"/>
  <c r="N439" i="7"/>
  <c r="O439" i="7" s="1"/>
  <c r="P439" i="7" s="1"/>
  <c r="N423" i="7"/>
  <c r="O423" i="7" s="1"/>
  <c r="P423" i="7" s="1"/>
  <c r="N53" i="7"/>
  <c r="O53" i="7" s="1"/>
  <c r="P53" i="7" s="1"/>
  <c r="N484" i="7"/>
  <c r="O484" i="7" s="1"/>
  <c r="P484" i="7" s="1"/>
  <c r="N515" i="7"/>
  <c r="O515" i="7" s="1"/>
  <c r="P515" i="7" s="1"/>
  <c r="N259" i="7"/>
  <c r="O259" i="7" s="1"/>
  <c r="P259" i="7" s="1"/>
  <c r="N482" i="7"/>
  <c r="O482" i="7" s="1"/>
  <c r="P482" i="7" s="1"/>
  <c r="N554" i="7"/>
  <c r="O554" i="7" s="1"/>
  <c r="P554" i="7" s="1"/>
  <c r="N298" i="7"/>
  <c r="O298" i="7" s="1"/>
  <c r="P298" i="7" s="1"/>
  <c r="N473" i="7"/>
  <c r="O473" i="7" s="1"/>
  <c r="P473" i="7" s="1"/>
  <c r="N217" i="7"/>
  <c r="O217" i="7" s="1"/>
  <c r="P217" i="7" s="1"/>
  <c r="N549" i="7"/>
  <c r="O549" i="7" s="1"/>
  <c r="P549" i="7" s="1"/>
  <c r="N368" i="7"/>
  <c r="O368" i="7" s="1"/>
  <c r="P368" i="7" s="1"/>
  <c r="N112" i="7"/>
  <c r="O112" i="7" s="1"/>
  <c r="P112" i="7" s="1"/>
  <c r="N478" i="7"/>
  <c r="O478" i="7" s="1"/>
  <c r="P478" i="7" s="1"/>
  <c r="N222" i="7"/>
  <c r="O222" i="7" s="1"/>
  <c r="P222" i="7" s="1"/>
  <c r="N556" i="7"/>
  <c r="O556" i="7" s="1"/>
  <c r="P556" i="7" s="1"/>
  <c r="N523" i="7"/>
  <c r="O523" i="7" s="1"/>
  <c r="P523" i="7" s="1"/>
  <c r="N74" i="7"/>
  <c r="O74" i="7" s="1"/>
  <c r="P74" i="7" s="1"/>
  <c r="N325" i="7"/>
  <c r="O325" i="7" s="1"/>
  <c r="P325" i="7" s="1"/>
  <c r="N155" i="7"/>
  <c r="O155" i="7" s="1"/>
  <c r="P155" i="7" s="1"/>
  <c r="N327" i="7"/>
  <c r="O327" i="7" s="1"/>
  <c r="P327" i="7" s="1"/>
  <c r="N9" i="7"/>
  <c r="O9" i="7" s="1"/>
  <c r="P9" i="7" s="1"/>
  <c r="N488" i="7"/>
  <c r="O488" i="7" s="1"/>
  <c r="P488" i="7" s="1"/>
  <c r="N216" i="7"/>
  <c r="O216" i="7" s="1"/>
  <c r="P216" i="7" s="1"/>
  <c r="N407" i="7"/>
  <c r="O407" i="7" s="1"/>
  <c r="P407" i="7" s="1"/>
  <c r="N359" i="7"/>
  <c r="O359" i="7" s="1"/>
  <c r="P359" i="7" s="1"/>
  <c r="N37" i="7"/>
  <c r="O37" i="7" s="1"/>
  <c r="P37" i="7" s="1"/>
  <c r="N468" i="7"/>
  <c r="O468" i="7" s="1"/>
  <c r="P468" i="7" s="1"/>
  <c r="N433" i="7"/>
  <c r="O433" i="7" s="1"/>
  <c r="P433" i="7" s="1"/>
  <c r="N499" i="7"/>
  <c r="O499" i="7" s="1"/>
  <c r="P499" i="7" s="1"/>
  <c r="N243" i="7"/>
  <c r="O243" i="7" s="1"/>
  <c r="P243" i="7" s="1"/>
  <c r="N449" i="7"/>
  <c r="O449" i="7" s="1"/>
  <c r="P449" i="7" s="1"/>
  <c r="N466" i="7"/>
  <c r="O466" i="7" s="1"/>
  <c r="P466" i="7" s="1"/>
  <c r="N210" i="7"/>
  <c r="O210" i="7" s="1"/>
  <c r="P210" i="7" s="1"/>
  <c r="N113" i="7"/>
  <c r="O113" i="7" s="1"/>
  <c r="P113" i="7" s="1"/>
  <c r="N369" i="7"/>
  <c r="O369" i="7" s="1"/>
  <c r="P369" i="7" s="1"/>
  <c r="N463" i="7"/>
  <c r="O463" i="7" s="1"/>
  <c r="P463" i="7" s="1"/>
  <c r="N399" i="7"/>
  <c r="O399" i="7" s="1"/>
  <c r="P399" i="7" s="1"/>
  <c r="N541" i="7"/>
  <c r="O541" i="7" s="1"/>
  <c r="P541" i="7" s="1"/>
  <c r="N285" i="7"/>
  <c r="O285" i="7" s="1"/>
  <c r="P285" i="7" s="1"/>
  <c r="N29" i="7"/>
  <c r="O29" i="7" s="1"/>
  <c r="P29" i="7" s="1"/>
  <c r="N49" i="7"/>
  <c r="O49" i="7" s="1"/>
  <c r="P49" i="7" s="1"/>
  <c r="N321" i="7"/>
  <c r="O321" i="7" s="1"/>
  <c r="P321" i="7" s="1"/>
  <c r="N431" i="7"/>
  <c r="O431" i="7" s="1"/>
  <c r="P431" i="7" s="1"/>
  <c r="N367" i="7"/>
  <c r="O367" i="7" s="1"/>
  <c r="P367" i="7" s="1"/>
  <c r="N525" i="7"/>
  <c r="O525" i="7" s="1"/>
  <c r="P525" i="7" s="1"/>
  <c r="N269" i="7"/>
  <c r="O269" i="7" s="1"/>
  <c r="P269" i="7" s="1"/>
  <c r="N13" i="7"/>
  <c r="O13" i="7" s="1"/>
  <c r="P13" i="7" s="1"/>
  <c r="N241" i="7"/>
  <c r="O241" i="7" s="1"/>
  <c r="P241" i="7" s="1"/>
  <c r="N415" i="7"/>
  <c r="O415" i="7" s="1"/>
  <c r="P415" i="7" s="1"/>
  <c r="N335" i="7"/>
  <c r="O335" i="7" s="1"/>
  <c r="P335" i="7" s="1"/>
  <c r="N509" i="7"/>
  <c r="O509" i="7" s="1"/>
  <c r="P509" i="7" s="1"/>
  <c r="N253" i="7"/>
  <c r="O253" i="7" s="1"/>
  <c r="P253" i="7" s="1"/>
  <c r="N364" i="7"/>
  <c r="O364" i="7" s="1"/>
  <c r="P364" i="7" s="1"/>
  <c r="N161" i="7"/>
  <c r="O161" i="7" s="1"/>
  <c r="P161" i="7" s="1"/>
  <c r="N383" i="7"/>
  <c r="O383" i="7" s="1"/>
  <c r="P383" i="7" s="1"/>
  <c r="N303" i="7"/>
  <c r="O303" i="7" s="1"/>
  <c r="P303" i="7" s="1"/>
  <c r="N493" i="7"/>
  <c r="O493" i="7" s="1"/>
  <c r="P493" i="7" s="1"/>
  <c r="N237" i="7"/>
  <c r="O237" i="7" s="1"/>
  <c r="P237" i="7" s="1"/>
  <c r="N252" i="7"/>
  <c r="O252" i="7" s="1"/>
  <c r="P252" i="7" s="1"/>
  <c r="N97" i="7"/>
  <c r="O97" i="7" s="1"/>
  <c r="P97" i="7" s="1"/>
  <c r="N351" i="7"/>
  <c r="O351" i="7" s="1"/>
  <c r="P351" i="7" s="1"/>
  <c r="N271" i="7"/>
  <c r="O271" i="7" s="1"/>
  <c r="P271" i="7" s="1"/>
  <c r="N477" i="7"/>
  <c r="O477" i="7" s="1"/>
  <c r="P477" i="7" s="1"/>
  <c r="N221" i="7"/>
  <c r="O221" i="7" s="1"/>
  <c r="P221" i="7" s="1"/>
  <c r="N172" i="7"/>
  <c r="O172" i="7" s="1"/>
  <c r="P172" i="7" s="1"/>
  <c r="N33" i="7"/>
  <c r="O33" i="7" s="1"/>
  <c r="P33" i="7" s="1"/>
  <c r="N319" i="7"/>
  <c r="O319" i="7" s="1"/>
  <c r="P319" i="7" s="1"/>
  <c r="N159" i="7"/>
  <c r="O159" i="7" s="1"/>
  <c r="P159" i="7" s="1"/>
  <c r="N461" i="7"/>
  <c r="O461" i="7" s="1"/>
  <c r="P461" i="7" s="1"/>
  <c r="N205" i="7"/>
  <c r="O205" i="7" s="1"/>
  <c r="P205" i="7" s="1"/>
  <c r="N92" i="7"/>
  <c r="O92" i="7" s="1"/>
  <c r="P92" i="7" s="1"/>
  <c r="N175" i="7"/>
  <c r="O175" i="7" s="1"/>
  <c r="P175" i="7" s="1"/>
  <c r="N287" i="7"/>
  <c r="O287" i="7" s="1"/>
  <c r="P287" i="7" s="1"/>
  <c r="N111" i="7"/>
  <c r="O111" i="7" s="1"/>
  <c r="P111" i="7" s="1"/>
  <c r="N445" i="7"/>
  <c r="O445" i="7" s="1"/>
  <c r="P445" i="7" s="1"/>
  <c r="N189" i="7"/>
  <c r="O189" i="7" s="1"/>
  <c r="P189" i="7" s="1"/>
  <c r="J6" i="1" l="1"/>
  <c r="J11" i="1"/>
  <c r="J5" i="1"/>
  <c r="J4" i="1"/>
  <c r="J9" i="1"/>
  <c r="J3" i="1"/>
  <c r="J8" i="1"/>
  <c r="J423" i="1"/>
  <c r="J25" i="1"/>
  <c r="J10" i="1"/>
  <c r="J29" i="1"/>
  <c r="J7" i="1"/>
  <c r="J42" i="1"/>
  <c r="J238" i="1"/>
  <c r="J27" i="1"/>
  <c r="J447" i="1"/>
  <c r="J35" i="1"/>
  <c r="J439" i="1"/>
  <c r="J49" i="1"/>
  <c r="J188" i="1"/>
  <c r="J200" i="1"/>
  <c r="J206" i="1"/>
  <c r="J462" i="1"/>
  <c r="J455" i="1"/>
  <c r="J205" i="1"/>
  <c r="J281" i="1"/>
  <c r="J191" i="1"/>
  <c r="J172" i="1"/>
  <c r="J268" i="1"/>
  <c r="J277" i="1"/>
  <c r="J152" i="1"/>
  <c r="J125" i="1"/>
  <c r="J237" i="1"/>
  <c r="J349" i="1"/>
  <c r="J509" i="1"/>
  <c r="J41" i="1"/>
  <c r="J297" i="1"/>
  <c r="J26" i="1"/>
  <c r="J282" i="1"/>
  <c r="J267" i="1"/>
  <c r="J523" i="1"/>
  <c r="J222" i="1"/>
  <c r="J478" i="1"/>
  <c r="J207" i="1"/>
  <c r="J463" i="1"/>
  <c r="J192" i="1"/>
  <c r="J448" i="1"/>
  <c r="J513" i="1"/>
  <c r="J51" i="1"/>
  <c r="J307" i="1"/>
  <c r="J533" i="1"/>
  <c r="J246" i="1"/>
  <c r="J502" i="1"/>
  <c r="J215" i="1"/>
  <c r="J471" i="1"/>
  <c r="J194" i="1"/>
  <c r="J88" i="1"/>
  <c r="J507" i="1"/>
  <c r="J432" i="1"/>
  <c r="J260" i="1"/>
  <c r="J316" i="1"/>
  <c r="J162" i="1"/>
  <c r="J313" i="1"/>
  <c r="J223" i="1"/>
  <c r="J518" i="1"/>
  <c r="J176" i="1"/>
  <c r="J257" i="1"/>
  <c r="J290" i="1"/>
  <c r="J365" i="1"/>
  <c r="J413" i="1"/>
  <c r="J421" i="1"/>
  <c r="J226" i="1"/>
  <c r="J197" i="1"/>
  <c r="J309" i="1"/>
  <c r="J452" i="1"/>
  <c r="J66" i="1"/>
  <c r="J73" i="1"/>
  <c r="J329" i="1"/>
  <c r="J58" i="1"/>
  <c r="J314" i="1"/>
  <c r="J43" i="1"/>
  <c r="J299" i="1"/>
  <c r="J525" i="1"/>
  <c r="J254" i="1"/>
  <c r="J510" i="1"/>
  <c r="J239" i="1"/>
  <c r="J495" i="1"/>
  <c r="J224" i="1"/>
  <c r="J480" i="1"/>
  <c r="J370" i="1"/>
  <c r="J83" i="1"/>
  <c r="J339" i="1"/>
  <c r="J22" i="1"/>
  <c r="J278" i="1"/>
  <c r="J534" i="1"/>
  <c r="J247" i="1"/>
  <c r="J503" i="1"/>
  <c r="J333" i="1"/>
  <c r="J524" i="1"/>
  <c r="J485" i="1"/>
  <c r="J348" i="1"/>
  <c r="J330" i="1"/>
  <c r="J526" i="1"/>
  <c r="J240" i="1"/>
  <c r="J99" i="1"/>
  <c r="J355" i="1"/>
  <c r="J263" i="1"/>
  <c r="J519" i="1"/>
  <c r="J199" i="1"/>
  <c r="J324" i="1"/>
  <c r="J262" i="1"/>
  <c r="J381" i="1"/>
  <c r="J354" i="1"/>
  <c r="J469" i="1"/>
  <c r="J517" i="1"/>
  <c r="J236" i="1"/>
  <c r="J101" i="1"/>
  <c r="J74" i="1"/>
  <c r="J315" i="1"/>
  <c r="J270" i="1"/>
  <c r="J511" i="1"/>
  <c r="J496" i="1"/>
  <c r="J38" i="1"/>
  <c r="J168" i="1"/>
  <c r="J436" i="1"/>
  <c r="J13" i="1"/>
  <c r="J24" i="1"/>
  <c r="J34" i="1"/>
  <c r="J37" i="1"/>
  <c r="J45" i="1"/>
  <c r="J300" i="1"/>
  <c r="J273" i="1"/>
  <c r="J396" i="1"/>
  <c r="J28" i="1"/>
  <c r="J140" i="1"/>
  <c r="J105" i="1"/>
  <c r="J361" i="1"/>
  <c r="J90" i="1"/>
  <c r="J346" i="1"/>
  <c r="J75" i="1"/>
  <c r="J331" i="1"/>
  <c r="J30" i="1"/>
  <c r="J286" i="1"/>
  <c r="J15" i="1"/>
  <c r="J271" i="1"/>
  <c r="J527" i="1"/>
  <c r="J256" i="1"/>
  <c r="J512" i="1"/>
  <c r="J402" i="1"/>
  <c r="J115" i="1"/>
  <c r="J371" i="1"/>
  <c r="J54" i="1"/>
  <c r="J310" i="1"/>
  <c r="J23" i="1"/>
  <c r="J279" i="1"/>
  <c r="J535" i="1"/>
  <c r="J486" i="1"/>
  <c r="J305" i="1"/>
  <c r="J274" i="1"/>
  <c r="J529" i="1"/>
  <c r="J373" i="1"/>
  <c r="J456" i="1"/>
  <c r="J504" i="1"/>
  <c r="J261" i="1"/>
  <c r="J501" i="1"/>
  <c r="J345" i="1"/>
  <c r="J59" i="1"/>
  <c r="J14" i="1"/>
  <c r="J255" i="1"/>
  <c r="J386" i="1"/>
  <c r="J294" i="1"/>
  <c r="J178" i="1"/>
  <c r="J61" i="1"/>
  <c r="J69" i="1"/>
  <c r="J76" i="1"/>
  <c r="J82" i="1"/>
  <c r="J85" i="1"/>
  <c r="J98" i="1"/>
  <c r="J108" i="1"/>
  <c r="J337" i="1"/>
  <c r="J308" i="1"/>
  <c r="J445" i="1"/>
  <c r="J65" i="1"/>
  <c r="J177" i="1"/>
  <c r="J121" i="1"/>
  <c r="J377" i="1"/>
  <c r="J106" i="1"/>
  <c r="J362" i="1"/>
  <c r="J91" i="1"/>
  <c r="J347" i="1"/>
  <c r="J46" i="1"/>
  <c r="J302" i="1"/>
  <c r="J31" i="1"/>
  <c r="J287" i="1"/>
  <c r="J16" i="1"/>
  <c r="J272" i="1"/>
  <c r="J528" i="1"/>
  <c r="J418" i="1"/>
  <c r="J131" i="1"/>
  <c r="J387" i="1"/>
  <c r="J70" i="1"/>
  <c r="J326" i="1"/>
  <c r="J39" i="1"/>
  <c r="J295" i="1"/>
  <c r="J291" i="1"/>
  <c r="J479" i="1"/>
  <c r="J109" i="1"/>
  <c r="J404" i="1"/>
  <c r="J114" i="1"/>
  <c r="J476" i="1"/>
  <c r="J89" i="1"/>
  <c r="J225" i="1"/>
  <c r="J117" i="1"/>
  <c r="J124" i="1"/>
  <c r="J133" i="1"/>
  <c r="J145" i="1"/>
  <c r="J148" i="1"/>
  <c r="J156" i="1"/>
  <c r="J161" i="1"/>
  <c r="J380" i="1"/>
  <c r="J344" i="1"/>
  <c r="J500" i="1"/>
  <c r="J100" i="1"/>
  <c r="J212" i="1"/>
  <c r="J137" i="1"/>
  <c r="J393" i="1"/>
  <c r="J122" i="1"/>
  <c r="J378" i="1"/>
  <c r="J107" i="1"/>
  <c r="J363" i="1"/>
  <c r="J62" i="1"/>
  <c r="J318" i="1"/>
  <c r="J47" i="1"/>
  <c r="J303" i="1"/>
  <c r="J32" i="1"/>
  <c r="J288" i="1"/>
  <c r="J353" i="1"/>
  <c r="J434" i="1"/>
  <c r="J147" i="1"/>
  <c r="J403" i="1"/>
  <c r="J86" i="1"/>
  <c r="J342" i="1"/>
  <c r="J55" i="1"/>
  <c r="J311" i="1"/>
  <c r="J113" i="1"/>
  <c r="J220" i="1"/>
  <c r="J460" i="1"/>
  <c r="J251" i="1"/>
  <c r="J230" i="1"/>
  <c r="J242" i="1"/>
  <c r="J60" i="1"/>
  <c r="J328" i="1"/>
  <c r="J397" i="1"/>
  <c r="J57" i="1"/>
  <c r="J298" i="1"/>
  <c r="J494" i="1"/>
  <c r="J231" i="1"/>
  <c r="J229" i="1"/>
  <c r="J180" i="1"/>
  <c r="J184" i="1"/>
  <c r="J193" i="1"/>
  <c r="J196" i="1"/>
  <c r="J209" i="1"/>
  <c r="J216" i="1"/>
  <c r="J221" i="1"/>
  <c r="J429" i="1"/>
  <c r="J392" i="1"/>
  <c r="J20" i="1"/>
  <c r="J136" i="1"/>
  <c r="J248" i="1"/>
  <c r="J153" i="1"/>
  <c r="J409" i="1"/>
  <c r="J138" i="1"/>
  <c r="J394" i="1"/>
  <c r="J123" i="1"/>
  <c r="J379" i="1"/>
  <c r="J78" i="1"/>
  <c r="J334" i="1"/>
  <c r="J63" i="1"/>
  <c r="J319" i="1"/>
  <c r="J48" i="1"/>
  <c r="J304" i="1"/>
  <c r="J369" i="1"/>
  <c r="J450" i="1"/>
  <c r="J163" i="1"/>
  <c r="J419" i="1"/>
  <c r="J102" i="1"/>
  <c r="J358" i="1"/>
  <c r="J71" i="1"/>
  <c r="J327" i="1"/>
  <c r="J116" i="1"/>
  <c r="J266" i="1"/>
  <c r="J67" i="1"/>
  <c r="J244" i="1"/>
  <c r="J269" i="1"/>
  <c r="J444" i="1"/>
  <c r="J56" i="1"/>
  <c r="J173" i="1"/>
  <c r="J285" i="1"/>
  <c r="J169" i="1"/>
  <c r="J425" i="1"/>
  <c r="J154" i="1"/>
  <c r="J410" i="1"/>
  <c r="J139" i="1"/>
  <c r="J395" i="1"/>
  <c r="J94" i="1"/>
  <c r="J350" i="1"/>
  <c r="J79" i="1"/>
  <c r="J335" i="1"/>
  <c r="J64" i="1"/>
  <c r="J320" i="1"/>
  <c r="J385" i="1"/>
  <c r="J466" i="1"/>
  <c r="J179" i="1"/>
  <c r="J435" i="1"/>
  <c r="J118" i="1"/>
  <c r="J374" i="1"/>
  <c r="J87" i="1"/>
  <c r="J343" i="1"/>
  <c r="J181" i="1"/>
  <c r="J312" i="1"/>
  <c r="J522" i="1"/>
  <c r="J497" i="1"/>
  <c r="J228" i="1"/>
  <c r="J189" i="1"/>
  <c r="J283" i="1"/>
  <c r="J253" i="1"/>
  <c r="J292" i="1"/>
  <c r="J293" i="1"/>
  <c r="J301" i="1"/>
  <c r="J306" i="1"/>
  <c r="J317" i="1"/>
  <c r="J325" i="1"/>
  <c r="J332" i="1"/>
  <c r="J338" i="1"/>
  <c r="J340" i="1"/>
  <c r="J493" i="1"/>
  <c r="J93" i="1"/>
  <c r="J210" i="1"/>
  <c r="J322" i="1"/>
  <c r="J185" i="1"/>
  <c r="J441" i="1"/>
  <c r="J170" i="1"/>
  <c r="J426" i="1"/>
  <c r="J155" i="1"/>
  <c r="J411" i="1"/>
  <c r="J110" i="1"/>
  <c r="J366" i="1"/>
  <c r="J95" i="1"/>
  <c r="J351" i="1"/>
  <c r="J80" i="1"/>
  <c r="J336" i="1"/>
  <c r="J401" i="1"/>
  <c r="J482" i="1"/>
  <c r="J195" i="1"/>
  <c r="J451" i="1"/>
  <c r="J134" i="1"/>
  <c r="J390" i="1"/>
  <c r="J103" i="1"/>
  <c r="J359" i="1"/>
  <c r="J213" i="1"/>
  <c r="J208" i="1"/>
  <c r="J484" i="1"/>
  <c r="J364" i="1"/>
  <c r="J376" i="1"/>
  <c r="J389" i="1"/>
  <c r="J405" i="1"/>
  <c r="J420" i="1"/>
  <c r="J424" i="1"/>
  <c r="J388" i="1"/>
  <c r="J18" i="1"/>
  <c r="J130" i="1"/>
  <c r="J245" i="1"/>
  <c r="J360" i="1"/>
  <c r="J201" i="1"/>
  <c r="J457" i="1"/>
  <c r="J186" i="1"/>
  <c r="J442" i="1"/>
  <c r="J171" i="1"/>
  <c r="J427" i="1"/>
  <c r="J126" i="1"/>
  <c r="J382" i="1"/>
  <c r="J111" i="1"/>
  <c r="J367" i="1"/>
  <c r="J96" i="1"/>
  <c r="J352" i="1"/>
  <c r="J417" i="1"/>
  <c r="J498" i="1"/>
  <c r="J211" i="1"/>
  <c r="J467" i="1"/>
  <c r="J150" i="1"/>
  <c r="J406" i="1"/>
  <c r="J119" i="1"/>
  <c r="J375" i="1"/>
  <c r="J323" i="1"/>
  <c r="J289" i="1"/>
  <c r="J280" i="1"/>
  <c r="J472" i="1"/>
  <c r="J520" i="1"/>
  <c r="J165" i="1"/>
  <c r="J217" i="1"/>
  <c r="J443" i="1"/>
  <c r="J112" i="1"/>
  <c r="J135" i="1"/>
  <c r="J487" i="1"/>
  <c r="J232" i="1"/>
  <c r="J264" i="1"/>
  <c r="J341" i="1"/>
  <c r="J356" i="1"/>
  <c r="J468" i="1"/>
  <c r="J492" i="1"/>
  <c r="J437" i="1"/>
  <c r="J284" i="1"/>
  <c r="J473" i="1"/>
  <c r="J458" i="1"/>
  <c r="J142" i="1"/>
  <c r="J127" i="1"/>
  <c r="J368" i="1"/>
  <c r="J433" i="1"/>
  <c r="J227" i="1"/>
  <c r="J166" i="1"/>
  <c r="J422" i="1"/>
  <c r="J428" i="1"/>
  <c r="J12" i="1"/>
  <c r="J21" i="1"/>
  <c r="J33" i="1"/>
  <c r="J36" i="1"/>
  <c r="J40" i="1"/>
  <c r="J488" i="1"/>
  <c r="J92" i="1"/>
  <c r="J204" i="1"/>
  <c r="J321" i="1"/>
  <c r="J461" i="1"/>
  <c r="J233" i="1"/>
  <c r="J489" i="1"/>
  <c r="J218" i="1"/>
  <c r="J474" i="1"/>
  <c r="J203" i="1"/>
  <c r="J459" i="1"/>
  <c r="J158" i="1"/>
  <c r="J414" i="1"/>
  <c r="J143" i="1"/>
  <c r="J399" i="1"/>
  <c r="J128" i="1"/>
  <c r="J384" i="1"/>
  <c r="J449" i="1"/>
  <c r="J530" i="1"/>
  <c r="J243" i="1"/>
  <c r="J499" i="1"/>
  <c r="J182" i="1"/>
  <c r="J438" i="1"/>
  <c r="J151" i="1"/>
  <c r="J407" i="1"/>
  <c r="J252" i="1"/>
  <c r="J296" i="1"/>
  <c r="J464" i="1"/>
  <c r="J258" i="1"/>
  <c r="J372" i="1"/>
  <c r="J453" i="1"/>
  <c r="J477" i="1"/>
  <c r="J508" i="1"/>
  <c r="J53" i="1"/>
  <c r="J412" i="1"/>
  <c r="J202" i="1"/>
  <c r="J187" i="1"/>
  <c r="J398" i="1"/>
  <c r="J383" i="1"/>
  <c r="J514" i="1"/>
  <c r="J483" i="1"/>
  <c r="J391" i="1"/>
  <c r="J440" i="1"/>
  <c r="J68" i="1"/>
  <c r="J72" i="1"/>
  <c r="J77" i="1"/>
  <c r="J84" i="1"/>
  <c r="J97" i="1"/>
  <c r="J104" i="1"/>
  <c r="J44" i="1"/>
  <c r="J17" i="1"/>
  <c r="J129" i="1"/>
  <c r="J241" i="1"/>
  <c r="J357" i="1"/>
  <c r="J516" i="1"/>
  <c r="J249" i="1"/>
  <c r="J505" i="1"/>
  <c r="J234" i="1"/>
  <c r="J490" i="1"/>
  <c r="J219" i="1"/>
  <c r="J475" i="1"/>
  <c r="J174" i="1"/>
  <c r="J430" i="1"/>
  <c r="J159" i="1"/>
  <c r="J415" i="1"/>
  <c r="J144" i="1"/>
  <c r="J400" i="1"/>
  <c r="J465" i="1"/>
  <c r="J259" i="1"/>
  <c r="J515" i="1"/>
  <c r="J198" i="1"/>
  <c r="J454" i="1"/>
  <c r="J167" i="1"/>
  <c r="J532" i="1"/>
  <c r="J50" i="1"/>
  <c r="J120" i="1"/>
  <c r="J132" i="1"/>
  <c r="J141" i="1"/>
  <c r="J146" i="1"/>
  <c r="J149" i="1"/>
  <c r="J157" i="1"/>
  <c r="J81" i="1"/>
  <c r="J52" i="1"/>
  <c r="J164" i="1"/>
  <c r="J276" i="1"/>
  <c r="J408" i="1"/>
  <c r="J265" i="1"/>
  <c r="J521" i="1"/>
  <c r="J250" i="1"/>
  <c r="J506" i="1"/>
  <c r="J235" i="1"/>
  <c r="J491" i="1"/>
  <c r="J190" i="1"/>
  <c r="J446" i="1"/>
  <c r="J175" i="1"/>
  <c r="J431" i="1"/>
  <c r="J160" i="1"/>
  <c r="J416" i="1"/>
  <c r="J481" i="1"/>
  <c r="J19" i="1"/>
  <c r="J275" i="1"/>
  <c r="J531" i="1"/>
  <c r="J214" i="1"/>
  <c r="J470" i="1"/>
  <c r="J1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tc={4350D801-67E7-43FB-BDE7-D63AF1DCBE07}</author>
  </authors>
  <commentList>
    <comment ref="A2" authorId="0" shapeId="0" xr:uid="{4350D801-67E7-43FB-BDE7-D63AF1DCBE0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Recupera con:
System.out.println(giocatore.getIdFs() + ";" + giocatore.getNomeFS()+ ";" + giocatore.getSquadra());
In cambiaNomiFS di Main</t>
      </text>
    </comment>
  </commentList>
</comments>
</file>

<file path=xl/sharedStrings.xml><?xml version="1.0" encoding="utf-8"?>
<sst xmlns="http://schemas.openxmlformats.org/spreadsheetml/2006/main" count="4304" uniqueCount="926">
  <si>
    <t>Id</t>
  </si>
  <si>
    <t>R</t>
  </si>
  <si>
    <t>Nome</t>
  </si>
  <si>
    <t>Squadra</t>
  </si>
  <si>
    <t>Qt.A</t>
  </si>
  <si>
    <t>Qt.I</t>
  </si>
  <si>
    <t>Diff.</t>
  </si>
  <si>
    <t>FVM</t>
  </si>
  <si>
    <t>P</t>
  </si>
  <si>
    <t>Svilar</t>
  </si>
  <si>
    <t>Roma</t>
  </si>
  <si>
    <t>Carnesecchi</t>
  </si>
  <si>
    <t>Atalanta</t>
  </si>
  <si>
    <t>Vicario</t>
  </si>
  <si>
    <t>Juventus</t>
  </si>
  <si>
    <t>Maignan</t>
  </si>
  <si>
    <t>Milan</t>
  </si>
  <si>
    <t>Martinez Jo.</t>
  </si>
  <si>
    <t>Inter</t>
  </si>
  <si>
    <t>Caprile</t>
  </si>
  <si>
    <t>Cagliari</t>
  </si>
  <si>
    <t>Butez</t>
  </si>
  <si>
    <t>Como</t>
  </si>
  <si>
    <t>Mandas</t>
  </si>
  <si>
    <t>Lazio</t>
  </si>
  <si>
    <t>De Gea</t>
  </si>
  <si>
    <t>Fiorentina</t>
  </si>
  <si>
    <t>Skorupski</t>
  </si>
  <si>
    <t>Bologna</t>
  </si>
  <si>
    <t>Palmisani</t>
  </si>
  <si>
    <t>Frosinone</t>
  </si>
  <si>
    <t>Meret</t>
  </si>
  <si>
    <t>Napoli</t>
  </si>
  <si>
    <t>Perri</t>
  </si>
  <si>
    <t>Torino</t>
  </si>
  <si>
    <t>Okoye</t>
  </si>
  <si>
    <t>Udinese</t>
  </si>
  <si>
    <t>Sanchez Ro.</t>
  </si>
  <si>
    <t>Falcone</t>
  </si>
  <si>
    <t>Lecce</t>
  </si>
  <si>
    <t>Milinkovic-Savic V.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</si>
  <si>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</si>
  <si>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</si>
  <si>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</si>
  <si>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</si>
  <si>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</si>
  <si>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</si>
  <si>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</si>
  <si>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</si>
  <si>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Corvi</t>
  </si>
  <si>
    <t>Tornqvist</t>
  </si>
  <si>
    <t>Monza</t>
  </si>
  <si>
    <t>Thiam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</si>
  <si>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</si>
  <si>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</si>
  <si>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</si>
  <si>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</si>
  <si>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</si>
  <si>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</si>
  <si>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</si>
  <si>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</si>
  <si>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</si>
  <si>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</si>
  <si>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</si>
  <si>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</si>
  <si>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</si>
  <si>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</si>
  <si>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</si>
  <si>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</si>
  <si>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</si>
  <si>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</si>
  <si>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</si>
  <si>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</si>
  <si>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</si>
  <si>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</si>
  <si>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</si>
  <si>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</si>
  <si>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</si>
  <si>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</si>
  <si>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</si>
  <si>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</si>
  <si>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</si>
  <si>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</si>
  <si>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</si>
  <si>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</si>
  <si>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</si>
  <si>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</si>
  <si>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</si>
  <si>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</si>
  <si>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</si>
  <si>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</si>
  <si>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</si>
  <si>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</si>
  <si>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Dimarco</t>
  </si>
  <si>
    <t>Wesley</t>
  </si>
  <si>
    <t>Bremer</t>
  </si>
  <si>
    <t>Molina N.</t>
  </si>
  <si>
    <t>Rrahmani</t>
  </si>
  <si>
    <t>Mancini</t>
  </si>
  <si>
    <t>Akanji</t>
  </si>
  <si>
    <t>Bastoni</t>
  </si>
  <si>
    <t>Bisseck</t>
  </si>
  <si>
    <t>Kalulu</t>
  </si>
  <si>
    <t>Gila</t>
  </si>
  <si>
    <t>Pavlovic</t>
  </si>
  <si>
    <t>Ramon</t>
  </si>
  <si>
    <t>Di Lorenzo</t>
  </si>
  <si>
    <t>Hermoso</t>
  </si>
  <si>
    <t>Solet</t>
  </si>
  <si>
    <t>Stones</t>
  </si>
  <si>
    <t>N'Dicka</t>
  </si>
  <si>
    <t>Scalvini</t>
  </si>
  <si>
    <t>Miranda J.</t>
  </si>
  <si>
    <t>Jimenez A.</t>
  </si>
  <si>
    <t>Ostigard</t>
  </si>
  <si>
    <t>Carlos Augusto</t>
  </si>
  <si>
    <t>Mangas</t>
  </si>
  <si>
    <t>Kamara H.</t>
  </si>
  <si>
    <t>Spence</t>
  </si>
  <si>
    <t>Mina</t>
  </si>
  <si>
    <t>Kaiki</t>
  </si>
  <si>
    <t>Bracaglia</t>
  </si>
  <si>
    <t>Oyono A.</t>
  </si>
  <si>
    <t>Vasquez</t>
  </si>
  <si>
    <t>Tavares N.</t>
  </si>
  <si>
    <t>Tiago Gabriel</t>
  </si>
  <si>
    <t>Valeri</t>
  </si>
  <si>
    <t>Chalobah T.</t>
  </si>
  <si>
    <t>Lucumì</t>
  </si>
  <si>
    <t>Zè Pedro</t>
  </si>
  <si>
    <t>Obert</t>
  </si>
  <si>
    <t>Valle</t>
  </si>
  <si>
    <t>Dragusin</t>
  </si>
  <si>
    <t>Dodò</t>
  </si>
  <si>
    <t>Calvani</t>
  </si>
  <si>
    <t>Celik</t>
  </si>
  <si>
    <t>Doekhi</t>
  </si>
  <si>
    <t>Spinazzola</t>
  </si>
  <si>
    <t>Delprato</t>
  </si>
  <si>
    <t>Doig</t>
  </si>
  <si>
    <t>Coco</t>
  </si>
  <si>
    <t>Vojvoda</t>
  </si>
  <si>
    <t>Hainaut</t>
  </si>
  <si>
    <t>Couto</t>
  </si>
  <si>
    <t>Leysen F.</t>
  </si>
  <si>
    <t>Theate</t>
  </si>
  <si>
    <t>Balerdi</t>
  </si>
  <si>
    <t>Diego Carlos</t>
  </si>
  <si>
    <t>Zappacosta</t>
  </si>
  <si>
    <t>Monterisi</t>
  </si>
  <si>
    <t>Cambiaso</t>
  </si>
  <si>
    <t>Bartesaghi</t>
  </si>
  <si>
    <t>Birindelli</t>
  </si>
  <si>
    <t>Koulierakis</t>
  </si>
  <si>
    <t>Idzes</t>
  </si>
  <si>
    <t>Comuzzo</t>
  </si>
  <si>
    <t>Ismajli</t>
  </si>
  <si>
    <t>Abankwah</t>
  </si>
  <si>
    <t>Sutalo J.</t>
  </si>
  <si>
    <t>Belghali</t>
  </si>
  <si>
    <t>Hien</t>
  </si>
  <si>
    <t>Kolasinac</t>
  </si>
  <si>
    <t>Holm</t>
  </si>
  <si>
    <t>Zortea</t>
  </si>
  <si>
    <t>Rodriguez Ju.</t>
  </si>
  <si>
    <t>Veiga D.</t>
  </si>
  <si>
    <t>Gallo</t>
  </si>
  <si>
    <t>Gabbia</t>
  </si>
  <si>
    <t>De Winter</t>
  </si>
  <si>
    <t>Comert</t>
  </si>
  <si>
    <t>Correia T.</t>
  </si>
  <si>
    <t>Favasuli</t>
  </si>
  <si>
    <t>Fortini</t>
  </si>
  <si>
    <t>Badiashile</t>
  </si>
  <si>
    <t>Caleta-Car</t>
  </si>
  <si>
    <t>Sugawara</t>
  </si>
  <si>
    <t>Leite</t>
  </si>
  <si>
    <t>Bellanova</t>
  </si>
  <si>
    <t>Bernasconi</t>
  </si>
  <si>
    <t>Helland</t>
  </si>
  <si>
    <t>Heggem</t>
  </si>
  <si>
    <t>Kofler</t>
  </si>
  <si>
    <t>Kempf</t>
  </si>
  <si>
    <t>Valdepenas</t>
  </si>
  <si>
    <t>Viery</t>
  </si>
  <si>
    <t>Marcandalli</t>
  </si>
  <si>
    <t>Pavard</t>
  </si>
  <si>
    <t>Gatti</t>
  </si>
  <si>
    <t>Provstgaard</t>
  </si>
  <si>
    <t>Pedraza</t>
  </si>
  <si>
    <t>Marusic</t>
  </si>
  <si>
    <t>Tomori</t>
  </si>
  <si>
    <t>Buongiorno</t>
  </si>
  <si>
    <t>Ghilardi</t>
  </si>
  <si>
    <t>Kristensen T.</t>
  </si>
  <si>
    <t>Zanoli</t>
  </si>
  <si>
    <t>Haps</t>
  </si>
  <si>
    <t>Obrador</t>
  </si>
  <si>
    <t>Cinquegrano</t>
  </si>
  <si>
    <t>Patterson</t>
  </si>
  <si>
    <t>Rodriguez R.</t>
  </si>
  <si>
    <t>Vitik</t>
  </si>
  <si>
    <t>Parisi</t>
  </si>
  <si>
    <t>Cittadini</t>
  </si>
  <si>
    <t>Kelly L.</t>
  </si>
  <si>
    <t>Gaspar K.</t>
  </si>
  <si>
    <t>Siebert</t>
  </si>
  <si>
    <t>Estupinan</t>
  </si>
  <si>
    <t>Lucchesi</t>
  </si>
  <si>
    <t>Kouadio</t>
  </si>
  <si>
    <t>Carboni A.</t>
  </si>
  <si>
    <t>Bakoune</t>
  </si>
  <si>
    <t>Beukema</t>
  </si>
  <si>
    <t>Olivera</t>
  </si>
  <si>
    <t>Troilo</t>
  </si>
  <si>
    <t>Britschgi</t>
  </si>
  <si>
    <t>Rensch</t>
  </si>
  <si>
    <t>Bertola</t>
  </si>
  <si>
    <t>Bella-Kotchap</t>
  </si>
  <si>
    <t>Moreno M.</t>
  </si>
  <si>
    <t>Terzic</t>
  </si>
  <si>
    <t>Juan Jesus</t>
  </si>
  <si>
    <t>Ehizibue</t>
  </si>
  <si>
    <t>Kossounou</t>
  </si>
  <si>
    <t>Smolcic I.</t>
  </si>
  <si>
    <t>Pongracic</t>
  </si>
  <si>
    <t>Ranieri L.</t>
  </si>
  <si>
    <t>Mitaj</t>
  </si>
  <si>
    <t>Floriani Mussolini</t>
  </si>
  <si>
    <t>Valenti</t>
  </si>
  <si>
    <t>Walukiewicz</t>
  </si>
  <si>
    <t>Kabasele</t>
  </si>
  <si>
    <t>Ebosse</t>
  </si>
  <si>
    <t>Arizala</t>
  </si>
  <si>
    <t>Sagrado</t>
  </si>
  <si>
    <t>Odenthal</t>
  </si>
  <si>
    <t>Lulli</t>
  </si>
  <si>
    <t>Casale</t>
  </si>
  <si>
    <t>De Silvestri</t>
  </si>
  <si>
    <t>Alhassane</t>
  </si>
  <si>
    <t>Idrissi R.</t>
  </si>
  <si>
    <t>Joao Mario</t>
  </si>
  <si>
    <t>Akpoguma</t>
  </si>
  <si>
    <t>Otoa</t>
  </si>
  <si>
    <t>Puczka</t>
  </si>
  <si>
    <t>Sabelli</t>
  </si>
  <si>
    <t>Marin R.</t>
  </si>
  <si>
    <t>Candè</t>
  </si>
  <si>
    <t>Palma</t>
  </si>
  <si>
    <t>Halhal</t>
  </si>
  <si>
    <t>Schingtienne</t>
  </si>
  <si>
    <t>Sverko</t>
  </si>
  <si>
    <t>Franjic</t>
  </si>
  <si>
    <t>Tchato</t>
  </si>
  <si>
    <t>Kambwala</t>
  </si>
  <si>
    <t>Drobnic</t>
  </si>
  <si>
    <t>Drameh</t>
  </si>
  <si>
    <t>Goldaniga</t>
  </si>
  <si>
    <t>Van Der Brempt</t>
  </si>
  <si>
    <t>Amey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</si>
  <si>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</si>
  <si>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</si>
  <si>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</si>
  <si>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</si>
  <si>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</si>
  <si>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</si>
  <si>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</si>
  <si>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</si>
  <si>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</si>
  <si>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</si>
  <si>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</si>
  <si>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</si>
  <si>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</si>
  <si>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</si>
  <si>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</si>
  <si>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</si>
  <si>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</si>
  <si>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</si>
  <si>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</si>
  <si>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Goglichidze</t>
  </si>
  <si>
    <t>Terracciano F.</t>
  </si>
  <si>
    <t>Maye</t>
  </si>
  <si>
    <t>Dembelè A.</t>
  </si>
  <si>
    <t>C</t>
  </si>
  <si>
    <t>Paz N.</t>
  </si>
  <si>
    <t>Calhanoglu</t>
  </si>
  <si>
    <t>Pulisic</t>
  </si>
  <si>
    <t>Rabiot</t>
  </si>
  <si>
    <t>McTominay</t>
  </si>
  <si>
    <t>Orsolini</t>
  </si>
  <si>
    <t>Baturina</t>
  </si>
  <si>
    <t>Mora</t>
  </si>
  <si>
    <t>Barella</t>
  </si>
  <si>
    <t>Zaccagni</t>
  </si>
  <si>
    <t>Da Cunha</t>
  </si>
  <si>
    <t>De Bruyne</t>
  </si>
  <si>
    <t>Zaniolo</t>
  </si>
  <si>
    <t>McKennie</t>
  </si>
  <si>
    <t>Moreira</t>
  </si>
  <si>
    <t>Samardzic</t>
  </si>
  <si>
    <t>Atta</t>
  </si>
  <si>
    <t>Conceicao</t>
  </si>
  <si>
    <t>Konè M.</t>
  </si>
  <si>
    <t>Ekkelenkamp</t>
  </si>
  <si>
    <t>Mastantuono</t>
  </si>
  <si>
    <t>Ederson D.S.</t>
  </si>
  <si>
    <t>Gudmundsson A.</t>
  </si>
  <si>
    <t>Zielinski</t>
  </si>
  <si>
    <t>Taylor K.</t>
  </si>
  <si>
    <t>Gonzalez N.</t>
  </si>
  <si>
    <t>Bernardeschi</t>
  </si>
  <si>
    <t>Mandragora</t>
  </si>
  <si>
    <t>Frattesi</t>
  </si>
  <si>
    <t>Modric</t>
  </si>
  <si>
    <t>Jones C.</t>
  </si>
  <si>
    <t>Perrone</t>
  </si>
  <si>
    <t>Rodriguez Je.</t>
  </si>
  <si>
    <t>Calò</t>
  </si>
  <si>
    <t>Diouf</t>
  </si>
  <si>
    <t>Alajbegovic</t>
  </si>
  <si>
    <t>Cancellieri</t>
  </si>
  <si>
    <t>Saelemaekers</t>
  </si>
  <si>
    <t>Lobotka</t>
  </si>
  <si>
    <t>Politano</t>
  </si>
  <si>
    <t>Cristante</t>
  </si>
  <si>
    <t>Adzic</t>
  </si>
  <si>
    <t>Vlasic</t>
  </si>
  <si>
    <t>Schmid</t>
  </si>
  <si>
    <t>Kessiè</t>
  </si>
  <si>
    <t>Goncalves P.</t>
  </si>
  <si>
    <t>Romano</t>
  </si>
  <si>
    <t>Baldanzi</t>
  </si>
  <si>
    <t>Zhegrova</t>
  </si>
  <si>
    <t>Coulibaly L.</t>
  </si>
  <si>
    <t>Chukwueze</t>
  </si>
  <si>
    <t>Rowe</t>
  </si>
  <si>
    <t>Adopo</t>
  </si>
  <si>
    <t>Sucic P.</t>
  </si>
  <si>
    <t>Zambo Anguissa</t>
  </si>
  <si>
    <t>Vergara</t>
  </si>
  <si>
    <t>Pisilli</t>
  </si>
  <si>
    <t>Matic</t>
  </si>
  <si>
    <t>Thorstvedt</t>
  </si>
  <si>
    <t>Volpato</t>
  </si>
  <si>
    <t>Karlstrom</t>
  </si>
  <si>
    <t>Ferguson</t>
  </si>
  <si>
    <t>Pobega</t>
  </si>
  <si>
    <t>Cambiaghi</t>
  </si>
  <si>
    <t>Winks</t>
  </si>
  <si>
    <t>Fagioli</t>
  </si>
  <si>
    <t>Ndour</t>
  </si>
  <si>
    <t>Locatelli</t>
  </si>
  <si>
    <t>Thuram K.</t>
  </si>
  <si>
    <t>Koopmeiners</t>
  </si>
  <si>
    <t>Isaksen</t>
  </si>
  <si>
    <t>Akinsanmiro</t>
  </si>
  <si>
    <t>Colpani</t>
  </si>
  <si>
    <t>Almqvist</t>
  </si>
  <si>
    <t>Bakola</t>
  </si>
  <si>
    <t>Cacciamani</t>
  </si>
  <si>
    <t>Casadei</t>
  </si>
  <si>
    <t>Pellegrini Lo.</t>
  </si>
  <si>
    <t>Pasalic</t>
  </si>
  <si>
    <t>Odgaard</t>
  </si>
  <si>
    <t>Fazzini</t>
  </si>
  <si>
    <t>Milla</t>
  </si>
  <si>
    <t>Frendrup</t>
  </si>
  <si>
    <t>Masini</t>
  </si>
  <si>
    <t>Messias</t>
  </si>
  <si>
    <t>Konè I.</t>
  </si>
  <si>
    <t>Njie</t>
  </si>
  <si>
    <t>Busio</t>
  </si>
  <si>
    <t>Sow</t>
  </si>
  <si>
    <t>Hutchinson</t>
  </si>
  <si>
    <t>Sarr P.</t>
  </si>
  <si>
    <t>Mbangula</t>
  </si>
  <si>
    <t>Braganca</t>
  </si>
  <si>
    <t>El Shaarawy</t>
  </si>
  <si>
    <t>Gaetano</t>
  </si>
  <si>
    <t>Zalewski</t>
  </si>
  <si>
    <t>Caqueret</t>
  </si>
  <si>
    <t>Rovella</t>
  </si>
  <si>
    <t>Pierotti</t>
  </si>
  <si>
    <t>Gilmour</t>
  </si>
  <si>
    <t>Keita M.</t>
  </si>
  <si>
    <t>Bernabè</t>
  </si>
  <si>
    <t>Fitz-Jim</t>
  </si>
  <si>
    <t>Oristanio</t>
  </si>
  <si>
    <t>Piotrowski</t>
  </si>
  <si>
    <t>Unai Gomez</t>
  </si>
  <si>
    <t>Cissè A.</t>
  </si>
  <si>
    <t>Elmas</t>
  </si>
  <si>
    <t>Monteiro J.</t>
  </si>
  <si>
    <t>Moro N.</t>
  </si>
  <si>
    <t>Dominguez B.</t>
  </si>
  <si>
    <t>Deiola</t>
  </si>
  <si>
    <t>Liberali</t>
  </si>
  <si>
    <t>Oulai</t>
  </si>
  <si>
    <t xml:space="preserve">Fini </t>
  </si>
  <si>
    <t>Zerbin</t>
  </si>
  <si>
    <t>Ellertsson</t>
  </si>
  <si>
    <t>Luis Henrique</t>
  </si>
  <si>
    <t>Belahyane</t>
  </si>
  <si>
    <t>Pessina</t>
  </si>
  <si>
    <t>Gineitis</t>
  </si>
  <si>
    <t>Basic</t>
  </si>
  <si>
    <t>Sohm</t>
  </si>
  <si>
    <t>Perez K.</t>
  </si>
  <si>
    <t>De Roon</t>
  </si>
  <si>
    <t>Amondarain</t>
  </si>
  <si>
    <t>Felici</t>
  </si>
  <si>
    <t>Fadera</t>
  </si>
  <si>
    <t>Addai</t>
  </si>
  <si>
    <t>Fabbian</t>
  </si>
  <si>
    <t>Cichella</t>
  </si>
  <si>
    <t>Amorim</t>
  </si>
  <si>
    <t>Meichtry</t>
  </si>
  <si>
    <t>Traorè Hj.</t>
  </si>
  <si>
    <t>Mkhitaryan</t>
  </si>
  <si>
    <t>Douglas Luiz</t>
  </si>
  <si>
    <t>Dele-Bashiru</t>
  </si>
  <si>
    <t>Maleh</t>
  </si>
  <si>
    <t>Ngom</t>
  </si>
  <si>
    <t>Berisha M.</t>
  </si>
  <si>
    <t>Gandelman</t>
  </si>
  <si>
    <t>Jashari</t>
  </si>
  <si>
    <t>Musah</t>
  </si>
  <si>
    <t>Loftus-Cheek</t>
  </si>
  <si>
    <t>Nicolussi Caviglia</t>
  </si>
  <si>
    <t>Ilkhan</t>
  </si>
  <si>
    <t>Ilic</t>
  </si>
  <si>
    <t>Miller L.</t>
  </si>
  <si>
    <t>Grillitsch</t>
  </si>
  <si>
    <t>Tourè I.</t>
  </si>
  <si>
    <t>Sulemana I.</t>
  </si>
  <si>
    <t>Brescianini</t>
  </si>
  <si>
    <t>Hasa</t>
  </si>
  <si>
    <t>Cataldi</t>
  </si>
  <si>
    <t>Gorter</t>
  </si>
  <si>
    <t>Ricci S.</t>
  </si>
  <si>
    <t>Folorunsho</t>
  </si>
  <si>
    <t>Ordonez C.</t>
  </si>
  <si>
    <t>Diallo O.</t>
  </si>
  <si>
    <t>Lipani</t>
  </si>
  <si>
    <t>Chakvetadze</t>
  </si>
  <si>
    <t>Massolin</t>
  </si>
  <si>
    <t>Gagliardini</t>
  </si>
  <si>
    <t>Fernandez T.</t>
  </si>
  <si>
    <t>El Azzouzi O.</t>
  </si>
  <si>
    <t>Gelli F.</t>
  </si>
  <si>
    <t>Stankovic A.</t>
  </si>
  <si>
    <t>Kaba</t>
  </si>
  <si>
    <t>Colombo L.</t>
  </si>
  <si>
    <t>Cremaschi</t>
  </si>
  <si>
    <t>Aboukhlal</t>
  </si>
  <si>
    <t>Helgason</t>
  </si>
  <si>
    <t>Forson O.</t>
  </si>
  <si>
    <t>Foe Ondoa</t>
  </si>
  <si>
    <t>Sierro</t>
  </si>
  <si>
    <t>Liteta</t>
  </si>
  <si>
    <t>Lahdo</t>
  </si>
  <si>
    <t>El Azzouzi A.</t>
  </si>
  <si>
    <t>Kone B.</t>
  </si>
  <si>
    <t>Venturino</t>
  </si>
  <si>
    <t>Przyborek</t>
  </si>
  <si>
    <t>Fofana Sa.</t>
  </si>
  <si>
    <t>Ciurria</t>
  </si>
  <si>
    <t>Boloca</t>
  </si>
  <si>
    <t>Zarraga</t>
  </si>
  <si>
    <t>Dagasso</t>
  </si>
  <si>
    <t>Duncan</t>
  </si>
  <si>
    <t>Laerke</t>
  </si>
  <si>
    <t>Comotto</t>
  </si>
  <si>
    <t>Mout</t>
  </si>
  <si>
    <t>Ciervo</t>
  </si>
  <si>
    <t>Jovanovic</t>
  </si>
  <si>
    <t>Libra</t>
  </si>
  <si>
    <t>Lovric</t>
  </si>
  <si>
    <t>A</t>
  </si>
  <si>
    <t>Malen</t>
  </si>
  <si>
    <t>Martinez L.</t>
  </si>
  <si>
    <t>Thuram</t>
  </si>
  <si>
    <t>Hojlund</t>
  </si>
  <si>
    <t>Ramos G.</t>
  </si>
  <si>
    <t>Kean</t>
  </si>
  <si>
    <t>Kolo Muani</t>
  </si>
  <si>
    <t>Douvikas</t>
  </si>
  <si>
    <t>Woltemade</t>
  </si>
  <si>
    <t>Yildiz</t>
  </si>
  <si>
    <t>Scamacca</t>
  </si>
  <si>
    <t>Davis K.</t>
  </si>
  <si>
    <t>Esposito F.P.</t>
  </si>
  <si>
    <t>Berardi</t>
  </si>
  <si>
    <t>Dybala</t>
  </si>
  <si>
    <t>Krstovic</t>
  </si>
  <si>
    <t>Pellegrino M.</t>
  </si>
  <si>
    <t>Soulè</t>
  </si>
  <si>
    <t>Laurientè</t>
  </si>
  <si>
    <t>De Ketelaere</t>
  </si>
  <si>
    <t>Dovbyk</t>
  </si>
  <si>
    <t>Raspadori</t>
  </si>
  <si>
    <t>Esposito Se.</t>
  </si>
  <si>
    <t>Diao</t>
  </si>
  <si>
    <t>Santos A.</t>
  </si>
  <si>
    <t>Castro S.</t>
  </si>
  <si>
    <t>Simeone</t>
  </si>
  <si>
    <t>Romero D.</t>
  </si>
  <si>
    <t>Beto</t>
  </si>
  <si>
    <t>Raimondo</t>
  </si>
  <si>
    <t>Bowie</t>
  </si>
  <si>
    <t>Adams A.</t>
  </si>
  <si>
    <t>Maldini</t>
  </si>
  <si>
    <t>Ghedjemis</t>
  </si>
  <si>
    <t>Kvernadze</t>
  </si>
  <si>
    <t>Adams C.</t>
  </si>
  <si>
    <t>Colombo</t>
  </si>
  <si>
    <t>Noslin</t>
  </si>
  <si>
    <t>Varela G.</t>
  </si>
  <si>
    <t>Pinamonti</t>
  </si>
  <si>
    <t>Tourè E.</t>
  </si>
  <si>
    <t>Kevin Carlos</t>
  </si>
  <si>
    <t>Osmajic</t>
  </si>
  <si>
    <t>Piccoli</t>
  </si>
  <si>
    <t>Mendy P.</t>
  </si>
  <si>
    <t>Bonny</t>
  </si>
  <si>
    <t>Cutrone</t>
  </si>
  <si>
    <t>Yeboah J.</t>
  </si>
  <si>
    <t>Robinson J.</t>
  </si>
  <si>
    <t>Bobcek</t>
  </si>
  <si>
    <t>Vitinha O.</t>
  </si>
  <si>
    <t>Geubbels</t>
  </si>
  <si>
    <t>Gueye</t>
  </si>
  <si>
    <t>Zeballos</t>
  </si>
  <si>
    <t>Gnonto</t>
  </si>
  <si>
    <t>Boga</t>
  </si>
  <si>
    <t>Stulic</t>
  </si>
  <si>
    <t>Mota</t>
  </si>
  <si>
    <t>Kulenovic</t>
  </si>
  <si>
    <t>Rrahmani Al.</t>
  </si>
  <si>
    <t>Lontani</t>
  </si>
  <si>
    <t>Neres</t>
  </si>
  <si>
    <t>Elphege</t>
  </si>
  <si>
    <t>Zapata D.</t>
  </si>
  <si>
    <t>Fatah</t>
  </si>
  <si>
    <t>Sulemana K.</t>
  </si>
  <si>
    <t>N'Dri</t>
  </si>
  <si>
    <t>Camarda</t>
  </si>
  <si>
    <t>Lang</t>
  </si>
  <si>
    <t>Frigan</t>
  </si>
  <si>
    <t>Adorante</t>
  </si>
  <si>
    <t>Milik</t>
  </si>
  <si>
    <t>Birligea</t>
  </si>
  <si>
    <t>Ngonge</t>
  </si>
  <si>
    <t>Havel</t>
  </si>
  <si>
    <t>Giovane</t>
  </si>
  <si>
    <t>Lucca</t>
  </si>
  <si>
    <t>Nzola</t>
  </si>
  <si>
    <t>Ekhator</t>
  </si>
  <si>
    <t>Bayo V.</t>
  </si>
  <si>
    <t>Lauberbach</t>
  </si>
  <si>
    <t>Esteban</t>
  </si>
  <si>
    <t>Trepy</t>
  </si>
  <si>
    <t>Lisman</t>
  </si>
  <si>
    <t>De Martis</t>
  </si>
  <si>
    <t>Robinho Junior</t>
  </si>
  <si>
    <t>Enem</t>
  </si>
  <si>
    <t>Codice</t>
  </si>
  <si>
    <t>Cognome</t>
  </si>
  <si>
    <t>Ruolo</t>
  </si>
  <si>
    <t>Giornata</t>
  </si>
  <si>
    <t>Quotazione</t>
  </si>
  <si>
    <t>J.</t>
  </si>
  <si>
    <t>M.</t>
  </si>
  <si>
    <t>E.</t>
  </si>
  <si>
    <t>Casentini</t>
  </si>
  <si>
    <t>G.</t>
  </si>
  <si>
    <t>Christensen</t>
  </si>
  <si>
    <t>O.</t>
  </si>
  <si>
    <t>N.</t>
  </si>
  <si>
    <t/>
  </si>
  <si>
    <t>S.</t>
  </si>
  <si>
    <t>R.</t>
  </si>
  <si>
    <t>W.</t>
  </si>
  <si>
    <t>Furlanetto</t>
  </si>
  <si>
    <t>A.</t>
  </si>
  <si>
    <t>P.</t>
  </si>
  <si>
    <t>K.</t>
  </si>
  <si>
    <t>U.</t>
  </si>
  <si>
    <t>Israel</t>
  </si>
  <si>
    <t>F.</t>
  </si>
  <si>
    <t>L.</t>
  </si>
  <si>
    <t>Lupo</t>
  </si>
  <si>
    <t>C.</t>
  </si>
  <si>
    <t>D.</t>
  </si>
  <si>
    <t>Milinkovic-Savic</t>
  </si>
  <si>
    <t>V.</t>
  </si>
  <si>
    <t>Montipo</t>
  </si>
  <si>
    <t>B.</t>
  </si>
  <si>
    <t>Nyarko</t>
  </si>
  <si>
    <t>T.</t>
  </si>
  <si>
    <t>I.</t>
  </si>
  <si>
    <t>Radu</t>
  </si>
  <si>
    <t>Robert Sanchez</t>
  </si>
  <si>
    <t>Rossi</t>
  </si>
  <si>
    <t>Stankovic</t>
  </si>
  <si>
    <t>Ale Gomes</t>
  </si>
  <si>
    <t>Y.</t>
  </si>
  <si>
    <t>Bovio</t>
  </si>
  <si>
    <t>Bruno Galassi</t>
  </si>
  <si>
    <t>Carboni</t>
  </si>
  <si>
    <t>Z.</t>
  </si>
  <si>
    <t>Chalobah</t>
  </si>
  <si>
    <t>Dembele</t>
  </si>
  <si>
    <t>Diawara</t>
  </si>
  <si>
    <t>Dossena</t>
  </si>
  <si>
    <t>El Azzouzi</t>
  </si>
  <si>
    <t>Fali Cande</t>
  </si>
  <si>
    <t>Gelli</t>
  </si>
  <si>
    <t>Idrissi</t>
  </si>
  <si>
    <t>Kamara</t>
  </si>
  <si>
    <t>H.</t>
  </si>
  <si>
    <t>Kelly</t>
  </si>
  <si>
    <t>Kristensen</t>
  </si>
  <si>
    <t>Leysen</t>
  </si>
  <si>
    <t>Marcelo Vaz</t>
  </si>
  <si>
    <t>Marello</t>
  </si>
  <si>
    <t>Mohammed</t>
  </si>
  <si>
    <t>Molina</t>
  </si>
  <si>
    <t>Moreno</t>
  </si>
  <si>
    <t>Obric</t>
  </si>
  <si>
    <t>Oyono</t>
  </si>
  <si>
    <t>Paz</t>
  </si>
  <si>
    <t>Ranieri</t>
  </si>
  <si>
    <t>Smolcic</t>
  </si>
  <si>
    <t>Sutalo</t>
  </si>
  <si>
    <t>Ubani</t>
  </si>
  <si>
    <t>Van der Brempt</t>
  </si>
  <si>
    <t>Akarakiri</t>
  </si>
  <si>
    <t>Berisha</t>
  </si>
  <si>
    <t>Coulibaly</t>
  </si>
  <si>
    <t>da Cunha</t>
  </si>
  <si>
    <t>de Roon</t>
  </si>
  <si>
    <t>Farcomeni</t>
  </si>
  <si>
    <t>Fofana</t>
  </si>
  <si>
    <t>Ghion</t>
  </si>
  <si>
    <t>Grandu</t>
  </si>
  <si>
    <t>Gudmundsson</t>
  </si>
  <si>
    <t>Þ.</t>
  </si>
  <si>
    <t>Jones</t>
  </si>
  <si>
    <t>Keita</t>
  </si>
  <si>
    <t>Kone</t>
  </si>
  <si>
    <t>Kovac</t>
  </si>
  <si>
    <t>Lamine Fanne</t>
  </si>
  <si>
    <t>Luongo</t>
  </si>
  <si>
    <t>Manzoni</t>
  </si>
  <si>
    <t>Miller</t>
  </si>
  <si>
    <t>Monteiro</t>
  </si>
  <si>
    <t>Moro</t>
  </si>
  <si>
    <t>Ordonez</t>
  </si>
  <si>
    <t>Panada</t>
  </si>
  <si>
    <t>Ricci</t>
  </si>
  <si>
    <t>Sarr</t>
  </si>
  <si>
    <t>Sucic</t>
  </si>
  <si>
    <t>Sulemana</t>
  </si>
  <si>
    <t>Taylor</t>
  </si>
  <si>
    <t>Toure</t>
  </si>
  <si>
    <t>Wiafe</t>
  </si>
  <si>
    <t>Adams</t>
  </si>
  <si>
    <t>Arena</t>
  </si>
  <si>
    <t>Balde</t>
  </si>
  <si>
    <t>Bayo</t>
  </si>
  <si>
    <t>Castro</t>
  </si>
  <si>
    <t>Croci</t>
  </si>
  <si>
    <t>Davis</t>
  </si>
  <si>
    <t>de Martis</t>
  </si>
  <si>
    <t>Dominguez</t>
  </si>
  <si>
    <t>Forson</t>
  </si>
  <si>
    <t>Gonzalez</t>
  </si>
  <si>
    <t>Kulla</t>
  </si>
  <si>
    <t>Martins</t>
  </si>
  <si>
    <t>Mendy</t>
  </si>
  <si>
    <t>Mosconi</t>
  </si>
  <si>
    <t>Nuredini</t>
  </si>
  <si>
    <t>Ousmane Diallo</t>
  </si>
  <si>
    <t>Pellegri</t>
  </si>
  <si>
    <t>Pellegrino</t>
  </si>
  <si>
    <t>Pierini</t>
  </si>
  <si>
    <t>Robinson</t>
  </si>
  <si>
    <t>Romero</t>
  </si>
  <si>
    <t>Skjellerup</t>
  </si>
  <si>
    <t>Vinciati</t>
  </si>
  <si>
    <t>Yeboah</t>
  </si>
  <si>
    <t>Zapata</t>
  </si>
  <si>
    <t>Žulevic</t>
  </si>
  <si>
    <t>NomeSquadra</t>
  </si>
  <si>
    <t>Cerca</t>
  </si>
  <si>
    <t>CognomeSquadra</t>
  </si>
  <si>
    <t>CognomeNomeSquadra</t>
  </si>
  <si>
    <t>IdCerca</t>
  </si>
  <si>
    <t>IdRicerca</t>
  </si>
  <si>
    <t>ID LEGHE</t>
  </si>
  <si>
    <t>Trovato</t>
  </si>
  <si>
    <t>update</t>
  </si>
  <si>
    <t>Trova</t>
  </si>
  <si>
    <t>lucas perri</t>
  </si>
  <si>
    <t>bremer</t>
  </si>
  <si>
    <t>mancini</t>
  </si>
  <si>
    <t>yan couto</t>
  </si>
  <si>
    <t>valeri</t>
  </si>
  <si>
    <t>francisco conceicao</t>
  </si>
  <si>
    <t>de bruyne</t>
  </si>
  <si>
    <t>ederson</t>
  </si>
  <si>
    <t>berardi</t>
  </si>
  <si>
    <t>krstovic</t>
  </si>
  <si>
    <t>woltemade</t>
  </si>
  <si>
    <t>maignan</t>
  </si>
  <si>
    <t>terracciano</t>
  </si>
  <si>
    <t>yeboah</t>
  </si>
  <si>
    <t>pinamonti</t>
  </si>
  <si>
    <t>yildiz</t>
  </si>
  <si>
    <t>sow</t>
  </si>
  <si>
    <t>zaniolo</t>
  </si>
  <si>
    <t>atta</t>
  </si>
  <si>
    <t>orsolini</t>
  </si>
  <si>
    <t>pellegrini</t>
  </si>
  <si>
    <t>theate</t>
  </si>
  <si>
    <t>stones</t>
  </si>
  <si>
    <t>ricardo mangas</t>
  </si>
  <si>
    <t>koulierakis</t>
  </si>
  <si>
    <t>vicario</t>
  </si>
  <si>
    <t>jacobo ramon</t>
  </si>
  <si>
    <t>rrahmani</t>
  </si>
  <si>
    <t>lucumi</t>
  </si>
  <si>
    <t>bernardeschi</t>
  </si>
  <si>
    <t>schmid</t>
  </si>
  <si>
    <t>cisse</t>
  </si>
  <si>
    <t>romano</t>
  </si>
  <si>
    <t>højlund</t>
  </si>
  <si>
    <t>thuram</t>
  </si>
  <si>
    <t>isaksen</t>
  </si>
  <si>
    <t>butez</t>
  </si>
  <si>
    <t>muric</t>
  </si>
  <si>
    <t>monterisi</t>
  </si>
  <si>
    <t>chalobah</t>
  </si>
  <si>
    <t>kialonda gaspar</t>
  </si>
  <si>
    <t>halhal</t>
  </si>
  <si>
    <t>aurelio</t>
  </si>
  <si>
    <t>odgaard</t>
  </si>
  <si>
    <t>fabbian</t>
  </si>
  <si>
    <t>koopmeiners</t>
  </si>
  <si>
    <t>sarr</t>
  </si>
  <si>
    <t>mendy</t>
  </si>
  <si>
    <t>beto</t>
  </si>
  <si>
    <t>elphege</t>
  </si>
  <si>
    <t>caprile</t>
  </si>
  <si>
    <t>alex valle</t>
  </si>
  <si>
    <t>molina</t>
  </si>
  <si>
    <t>vojvoda</t>
  </si>
  <si>
    <t>barella</t>
  </si>
  <si>
    <t>lobotka</t>
  </si>
  <si>
    <t>samardzic</t>
  </si>
  <si>
    <t>kessie</t>
  </si>
  <si>
    <t>esposito</t>
  </si>
  <si>
    <t>douvikas</t>
  </si>
  <si>
    <t>dybala</t>
  </si>
  <si>
    <t>lauriente</t>
  </si>
  <si>
    <t>rowe</t>
  </si>
  <si>
    <t>cristante</t>
  </si>
  <si>
    <t>thorstvedt</t>
  </si>
  <si>
    <t>taylor</t>
  </si>
  <si>
    <t>el shaarawy</t>
  </si>
  <si>
    <t>juan miranda</t>
  </si>
  <si>
    <t>birindelli</t>
  </si>
  <si>
    <t>østigård</t>
  </si>
  <si>
    <t>spence</t>
  </si>
  <si>
    <t>carnesecchi</t>
  </si>
  <si>
    <t>sportiello</t>
  </si>
  <si>
    <t>meret</t>
  </si>
  <si>
    <t>kamara</t>
  </si>
  <si>
    <t>celik</t>
  </si>
  <si>
    <t>delprato</t>
  </si>
  <si>
    <t>paz</t>
  </si>
  <si>
    <t>maldini</t>
  </si>
  <si>
    <t>adzic</t>
  </si>
  <si>
    <t>rodrigo mora</t>
  </si>
  <si>
    <t>de ketelaere</t>
  </si>
  <si>
    <t>pellegrino</t>
  </si>
  <si>
    <t>romero</t>
  </si>
  <si>
    <t>palmisani</t>
  </si>
  <si>
    <t>mina</t>
  </si>
  <si>
    <t>zortea</t>
  </si>
  <si>
    <t>comuzzo</t>
  </si>
  <si>
    <t>cambiaso</t>
  </si>
  <si>
    <t>doekhi</t>
  </si>
  <si>
    <t>baturina</t>
  </si>
  <si>
    <t>moreira</t>
  </si>
  <si>
    <t>baldanzi</t>
  </si>
  <si>
    <t>cacciamani</t>
  </si>
  <si>
    <t>alajbegovic</t>
  </si>
  <si>
    <t>david neres</t>
  </si>
  <si>
    <t>malen</t>
  </si>
  <si>
    <t>josep martinez</t>
  </si>
  <si>
    <t>wesley</t>
  </si>
  <si>
    <t>spinazzola</t>
  </si>
  <si>
    <t>bracaglia</t>
  </si>
  <si>
    <t>rabiot</t>
  </si>
  <si>
    <t>diouf</t>
  </si>
  <si>
    <t>zielinski</t>
  </si>
  <si>
    <t>mckennie</t>
  </si>
  <si>
    <t>kolo muani</t>
  </si>
  <si>
    <t>gustavo varela</t>
  </si>
  <si>
    <t>davis</t>
  </si>
  <si>
    <t>di gennaro</t>
  </si>
  <si>
    <t>provedel</t>
  </si>
  <si>
    <t>zappacosta</t>
  </si>
  <si>
    <t>doig</t>
  </si>
  <si>
    <t>de winter</t>
  </si>
  <si>
    <t>bellanova</t>
  </si>
  <si>
    <t>abankwah</t>
  </si>
  <si>
    <t>zaccagni</t>
  </si>
  <si>
    <t>pierotti</t>
  </si>
  <si>
    <t>da cunha</t>
  </si>
  <si>
    <t>busio</t>
  </si>
  <si>
    <t>njie</t>
  </si>
  <si>
    <t>dovbyk</t>
  </si>
  <si>
    <t>cancellieri</t>
  </si>
  <si>
    <t>okoye</t>
  </si>
  <si>
    <t>akanji</t>
  </si>
  <si>
    <t>ndicka</t>
  </si>
  <si>
    <t>alex jimenez</t>
  </si>
  <si>
    <t>ekkelenkamp</t>
  </si>
  <si>
    <t>frattesi</t>
  </si>
  <si>
    <t>modric</t>
  </si>
  <si>
    <t>mastantuono</t>
  </si>
  <si>
    <t>simeone</t>
  </si>
  <si>
    <t>scamacca</t>
  </si>
  <si>
    <t>raimondo</t>
  </si>
  <si>
    <t>diao</t>
  </si>
  <si>
    <t>castro</t>
  </si>
  <si>
    <t>kvernadze</t>
  </si>
  <si>
    <t>kone</t>
  </si>
  <si>
    <t>anguissa</t>
  </si>
  <si>
    <t>gudmundsson</t>
  </si>
  <si>
    <t>jones</t>
  </si>
  <si>
    <t>pavlovic</t>
  </si>
  <si>
    <t>nuno tavares</t>
  </si>
  <si>
    <t>kabasele</t>
  </si>
  <si>
    <t>solet</t>
  </si>
  <si>
    <t>sutalo</t>
  </si>
  <si>
    <t>david de gea</t>
  </si>
  <si>
    <t>falcone</t>
  </si>
  <si>
    <t>gollini</t>
  </si>
  <si>
    <t>kalulu</t>
  </si>
  <si>
    <t>tiago gabriel</t>
  </si>
  <si>
    <t>obert</t>
  </si>
  <si>
    <t>calo</t>
  </si>
  <si>
    <t>mctominay</t>
  </si>
  <si>
    <t>alisson santos</t>
  </si>
  <si>
    <t>pulisic</t>
  </si>
  <si>
    <t>kean</t>
  </si>
  <si>
    <t>goncalo ramos</t>
  </si>
  <si>
    <t>lang</t>
  </si>
  <si>
    <t>soule</t>
  </si>
  <si>
    <t>raspadori</t>
  </si>
  <si>
    <t>piccoli</t>
  </si>
  <si>
    <t>zhegrova</t>
  </si>
  <si>
    <t>pisilli</t>
  </si>
  <si>
    <t>coulibaly</t>
  </si>
  <si>
    <t>fagioli</t>
  </si>
  <si>
    <t>rodriguez</t>
  </si>
  <si>
    <t>mario gila</t>
  </si>
  <si>
    <t>bernasconi</t>
  </si>
  <si>
    <t>provstgaard nielsen</t>
  </si>
  <si>
    <t>svilar</t>
  </si>
  <si>
    <t>skorupski</t>
  </si>
  <si>
    <t>mandas</t>
  </si>
  <si>
    <t>bisseck</t>
  </si>
  <si>
    <t>di lorenzo</t>
  </si>
  <si>
    <t>dimarco</t>
  </si>
  <si>
    <t>mario hermoso</t>
  </si>
  <si>
    <t>vlasic</t>
  </si>
  <si>
    <t>calhanoglu</t>
  </si>
  <si>
    <t>sucic</t>
  </si>
  <si>
    <t>osmajic</t>
  </si>
  <si>
    <t>cambiaghi</t>
  </si>
  <si>
    <t>adams</t>
  </si>
  <si>
    <t>motta</t>
  </si>
  <si>
    <t>renzetti</t>
  </si>
  <si>
    <t>bastoni</t>
  </si>
  <si>
    <t>badiashile</t>
  </si>
  <si>
    <t>carlos augusto</t>
  </si>
  <si>
    <t>scalvini</t>
  </si>
  <si>
    <t>gaetano</t>
  </si>
  <si>
    <t>mandragora</t>
  </si>
  <si>
    <t>politano</t>
  </si>
  <si>
    <t>perrone</t>
  </si>
  <si>
    <t>colombo</t>
  </si>
  <si>
    <t>gonzalez</t>
  </si>
  <si>
    <t>martinez</t>
  </si>
  <si>
    <t>Tor</t>
  </si>
  <si>
    <t>Juv</t>
  </si>
  <si>
    <t>Rom</t>
  </si>
  <si>
    <t>Com</t>
  </si>
  <si>
    <t>Par</t>
  </si>
  <si>
    <t>Nap</t>
  </si>
  <si>
    <t>Ata</t>
  </si>
  <si>
    <t>Sas</t>
  </si>
  <si>
    <t>Mil</t>
  </si>
  <si>
    <t>Ven</t>
  </si>
  <si>
    <t>Laz</t>
  </si>
  <si>
    <t>Gen</t>
  </si>
  <si>
    <t>Udi</t>
  </si>
  <si>
    <t>Fio</t>
  </si>
  <si>
    <t>Bol</t>
  </si>
  <si>
    <t>Int</t>
  </si>
  <si>
    <t>Mon</t>
  </si>
  <si>
    <t>Fro</t>
  </si>
  <si>
    <t>Cag</t>
  </si>
  <si>
    <t>Lec</t>
  </si>
  <si>
    <t>milinkovic-savic</t>
  </si>
  <si>
    <t>id fs</t>
  </si>
  <si>
    <t>nome fs</t>
  </si>
  <si>
    <t>sq</t>
  </si>
  <si>
    <t>id fg</t>
  </si>
  <si>
    <t>nome fg</t>
  </si>
  <si>
    <t>cambiare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</si>
</sst>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0"/>
      <name val="Arial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  <xf numFmtId="0" fontId="4" fillId="0" borderId="0" xfId="1" applyFont="1"/>
    <xf numFmtId="0" fontId="5" fillId="0" borderId="0" xfId="1" applyFont="1"/>
  </cellXfs>
  <cellStyles count="2">
    <cellStyle name="Normale" xfId="0" builtinId="0"/>
    <cellStyle name="Normale 2" xfId="1" xr:uid="{E38E7793-F851-4F3C-8356-40F83C0205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ucci Daniele" id="{215539B9-718D-4970-9C36-EB5AC56015E6}" userId="S::D.Carlucci@almaviva.it::0c566069-cc97-4ba9-8a43-5bfecfcccf71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10-18T17:27:30.00" personId="{215539B9-718D-4970-9C36-EB5AC56015E6}" id="{4350D801-67E7-43FB-BDE7-D63AF1DCBE07}">
    <text>Recupera con:
System.out.println(giocatore.getIdFs() + ";" + giocatore.getNomeFS()+ ";" + giocatore.getSquadra());
In cambiaNomiFS di Main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C131-969F-4ECA-8EAC-D9D2A9AFCC31}">
  <sheetPr>
    <outlinePr summaryBelow="0" summaryRight="0"/>
    <pageSetUpPr autoPageBreaks="0" fitToPage="1"/>
  </sheetPr>
  <dimension ref="A1:P570"/>
  <sheetViews>
    <sheetView topLeftCell="B1" workbookViewId="0">
      <pane ySplit="1" topLeftCell="A486" activePane="bottomLeft" state="frozen"/>
      <selection pane="bottomLeft" activeCell="C1" sqref="C1:N1048576"/>
    </sheetView>
  </sheetViews>
  <sheetFormatPr defaultRowHeight="12.5" x14ac:dyDescent="0.25"/>
  <cols>
    <col min="1" max="2" width="24.6328125" style="1" bestFit="1" customWidth="1"/>
    <col min="3" max="3" width="7.81640625" style="1" bestFit="1" customWidth="1"/>
    <col min="4" max="4" width="17.6328125" style="1" bestFit="1" customWidth="1"/>
    <col min="5" max="5" width="6.26953125" style="1" bestFit="1" customWidth="1"/>
    <col min="6" max="6" width="8.6328125" style="1" bestFit="1" customWidth="1"/>
    <col min="7" max="7" width="6.26953125" style="1" bestFit="1" customWidth="1"/>
    <col min="8" max="8" width="8.7265625" style="1" bestFit="1" customWidth="1"/>
    <col min="9" max="9" width="11.36328125" style="1" bestFit="1" customWidth="1"/>
    <col min="10" max="10" width="21.26953125" style="1" bestFit="1" customWidth="1"/>
    <col min="11" max="13" width="8.7265625" style="1"/>
    <col min="14" max="14" width="9.6328125" style="1" bestFit="1" customWidth="1"/>
    <col min="15" max="256" width="8.7265625" style="1"/>
    <col min="257" max="257" width="8.81640625" style="1" customWidth="1"/>
    <col min="258" max="258" width="18.6328125" style="1" customWidth="1"/>
    <col min="259" max="259" width="7.36328125" style="1" customWidth="1"/>
    <col min="260" max="260" width="9.81640625" style="1" customWidth="1"/>
    <col min="261" max="261" width="7.453125" style="1" customWidth="1"/>
    <col min="262" max="262" width="10" style="1" customWidth="1"/>
    <col min="263" max="263" width="12.81640625" style="1" customWidth="1"/>
    <col min="264" max="512" width="8.7265625" style="1"/>
    <col min="513" max="513" width="8.81640625" style="1" customWidth="1"/>
    <col min="514" max="514" width="18.6328125" style="1" customWidth="1"/>
    <col min="515" max="515" width="7.36328125" style="1" customWidth="1"/>
    <col min="516" max="516" width="9.81640625" style="1" customWidth="1"/>
    <col min="517" max="517" width="7.453125" style="1" customWidth="1"/>
    <col min="518" max="518" width="10" style="1" customWidth="1"/>
    <col min="519" max="519" width="12.81640625" style="1" customWidth="1"/>
    <col min="520" max="768" width="8.7265625" style="1"/>
    <col min="769" max="769" width="8.81640625" style="1" customWidth="1"/>
    <col min="770" max="770" width="18.6328125" style="1" customWidth="1"/>
    <col min="771" max="771" width="7.36328125" style="1" customWidth="1"/>
    <col min="772" max="772" width="9.81640625" style="1" customWidth="1"/>
    <col min="773" max="773" width="7.453125" style="1" customWidth="1"/>
    <col min="774" max="774" width="10" style="1" customWidth="1"/>
    <col min="775" max="775" width="12.81640625" style="1" customWidth="1"/>
    <col min="776" max="1024" width="8.7265625" style="1"/>
    <col min="1025" max="1025" width="8.81640625" style="1" customWidth="1"/>
    <col min="1026" max="1026" width="18.6328125" style="1" customWidth="1"/>
    <col min="1027" max="1027" width="7.36328125" style="1" customWidth="1"/>
    <col min="1028" max="1028" width="9.81640625" style="1" customWidth="1"/>
    <col min="1029" max="1029" width="7.453125" style="1" customWidth="1"/>
    <col min="1030" max="1030" width="10" style="1" customWidth="1"/>
    <col min="1031" max="1031" width="12.81640625" style="1" customWidth="1"/>
    <col min="1032" max="1280" width="8.7265625" style="1"/>
    <col min="1281" max="1281" width="8.81640625" style="1" customWidth="1"/>
    <col min="1282" max="1282" width="18.6328125" style="1" customWidth="1"/>
    <col min="1283" max="1283" width="7.36328125" style="1" customWidth="1"/>
    <col min="1284" max="1284" width="9.81640625" style="1" customWidth="1"/>
    <col min="1285" max="1285" width="7.453125" style="1" customWidth="1"/>
    <col min="1286" max="1286" width="10" style="1" customWidth="1"/>
    <col min="1287" max="1287" width="12.81640625" style="1" customWidth="1"/>
    <col min="1288" max="1536" width="8.7265625" style="1"/>
    <col min="1537" max="1537" width="8.81640625" style="1" customWidth="1"/>
    <col min="1538" max="1538" width="18.6328125" style="1" customWidth="1"/>
    <col min="1539" max="1539" width="7.36328125" style="1" customWidth="1"/>
    <col min="1540" max="1540" width="9.81640625" style="1" customWidth="1"/>
    <col min="1541" max="1541" width="7.453125" style="1" customWidth="1"/>
    <col min="1542" max="1542" width="10" style="1" customWidth="1"/>
    <col min="1543" max="1543" width="12.81640625" style="1" customWidth="1"/>
    <col min="1544" max="1792" width="8.7265625" style="1"/>
    <col min="1793" max="1793" width="8.81640625" style="1" customWidth="1"/>
    <col min="1794" max="1794" width="18.6328125" style="1" customWidth="1"/>
    <col min="1795" max="1795" width="7.36328125" style="1" customWidth="1"/>
    <col min="1796" max="1796" width="9.81640625" style="1" customWidth="1"/>
    <col min="1797" max="1797" width="7.453125" style="1" customWidth="1"/>
    <col min="1798" max="1798" width="10" style="1" customWidth="1"/>
    <col min="1799" max="1799" width="12.81640625" style="1" customWidth="1"/>
    <col min="1800" max="2048" width="8.7265625" style="1"/>
    <col min="2049" max="2049" width="8.81640625" style="1" customWidth="1"/>
    <col min="2050" max="2050" width="18.6328125" style="1" customWidth="1"/>
    <col min="2051" max="2051" width="7.36328125" style="1" customWidth="1"/>
    <col min="2052" max="2052" width="9.81640625" style="1" customWidth="1"/>
    <col min="2053" max="2053" width="7.453125" style="1" customWidth="1"/>
    <col min="2054" max="2054" width="10" style="1" customWidth="1"/>
    <col min="2055" max="2055" width="12.81640625" style="1" customWidth="1"/>
    <col min="2056" max="2304" width="8.7265625" style="1"/>
    <col min="2305" max="2305" width="8.81640625" style="1" customWidth="1"/>
    <col min="2306" max="2306" width="18.6328125" style="1" customWidth="1"/>
    <col min="2307" max="2307" width="7.36328125" style="1" customWidth="1"/>
    <col min="2308" max="2308" width="9.81640625" style="1" customWidth="1"/>
    <col min="2309" max="2309" width="7.453125" style="1" customWidth="1"/>
    <col min="2310" max="2310" width="10" style="1" customWidth="1"/>
    <col min="2311" max="2311" width="12.81640625" style="1" customWidth="1"/>
    <col min="2312" max="2560" width="8.7265625" style="1"/>
    <col min="2561" max="2561" width="8.81640625" style="1" customWidth="1"/>
    <col min="2562" max="2562" width="18.6328125" style="1" customWidth="1"/>
    <col min="2563" max="2563" width="7.36328125" style="1" customWidth="1"/>
    <col min="2564" max="2564" width="9.81640625" style="1" customWidth="1"/>
    <col min="2565" max="2565" width="7.453125" style="1" customWidth="1"/>
    <col min="2566" max="2566" width="10" style="1" customWidth="1"/>
    <col min="2567" max="2567" width="12.81640625" style="1" customWidth="1"/>
    <col min="2568" max="2816" width="8.7265625" style="1"/>
    <col min="2817" max="2817" width="8.81640625" style="1" customWidth="1"/>
    <col min="2818" max="2818" width="18.6328125" style="1" customWidth="1"/>
    <col min="2819" max="2819" width="7.36328125" style="1" customWidth="1"/>
    <col min="2820" max="2820" width="9.81640625" style="1" customWidth="1"/>
    <col min="2821" max="2821" width="7.453125" style="1" customWidth="1"/>
    <col min="2822" max="2822" width="10" style="1" customWidth="1"/>
    <col min="2823" max="2823" width="12.81640625" style="1" customWidth="1"/>
    <col min="2824" max="3072" width="8.7265625" style="1"/>
    <col min="3073" max="3073" width="8.81640625" style="1" customWidth="1"/>
    <col min="3074" max="3074" width="18.6328125" style="1" customWidth="1"/>
    <col min="3075" max="3075" width="7.36328125" style="1" customWidth="1"/>
    <col min="3076" max="3076" width="9.81640625" style="1" customWidth="1"/>
    <col min="3077" max="3077" width="7.453125" style="1" customWidth="1"/>
    <col min="3078" max="3078" width="10" style="1" customWidth="1"/>
    <col min="3079" max="3079" width="12.81640625" style="1" customWidth="1"/>
    <col min="3080" max="3328" width="8.7265625" style="1"/>
    <col min="3329" max="3329" width="8.81640625" style="1" customWidth="1"/>
    <col min="3330" max="3330" width="18.6328125" style="1" customWidth="1"/>
    <col min="3331" max="3331" width="7.36328125" style="1" customWidth="1"/>
    <col min="3332" max="3332" width="9.81640625" style="1" customWidth="1"/>
    <col min="3333" max="3333" width="7.453125" style="1" customWidth="1"/>
    <col min="3334" max="3334" width="10" style="1" customWidth="1"/>
    <col min="3335" max="3335" width="12.81640625" style="1" customWidth="1"/>
    <col min="3336" max="3584" width="8.7265625" style="1"/>
    <col min="3585" max="3585" width="8.81640625" style="1" customWidth="1"/>
    <col min="3586" max="3586" width="18.6328125" style="1" customWidth="1"/>
    <col min="3587" max="3587" width="7.36328125" style="1" customWidth="1"/>
    <col min="3588" max="3588" width="9.81640625" style="1" customWidth="1"/>
    <col min="3589" max="3589" width="7.453125" style="1" customWidth="1"/>
    <col min="3590" max="3590" width="10" style="1" customWidth="1"/>
    <col min="3591" max="3591" width="12.81640625" style="1" customWidth="1"/>
    <col min="3592" max="3840" width="8.7265625" style="1"/>
    <col min="3841" max="3841" width="8.81640625" style="1" customWidth="1"/>
    <col min="3842" max="3842" width="18.6328125" style="1" customWidth="1"/>
    <col min="3843" max="3843" width="7.36328125" style="1" customWidth="1"/>
    <col min="3844" max="3844" width="9.81640625" style="1" customWidth="1"/>
    <col min="3845" max="3845" width="7.453125" style="1" customWidth="1"/>
    <col min="3846" max="3846" width="10" style="1" customWidth="1"/>
    <col min="3847" max="3847" width="12.81640625" style="1" customWidth="1"/>
    <col min="3848" max="4096" width="8.7265625" style="1"/>
    <col min="4097" max="4097" width="8.81640625" style="1" customWidth="1"/>
    <col min="4098" max="4098" width="18.6328125" style="1" customWidth="1"/>
    <col min="4099" max="4099" width="7.36328125" style="1" customWidth="1"/>
    <col min="4100" max="4100" width="9.81640625" style="1" customWidth="1"/>
    <col min="4101" max="4101" width="7.453125" style="1" customWidth="1"/>
    <col min="4102" max="4102" width="10" style="1" customWidth="1"/>
    <col min="4103" max="4103" width="12.81640625" style="1" customWidth="1"/>
    <col min="4104" max="4352" width="8.7265625" style="1"/>
    <col min="4353" max="4353" width="8.81640625" style="1" customWidth="1"/>
    <col min="4354" max="4354" width="18.6328125" style="1" customWidth="1"/>
    <col min="4355" max="4355" width="7.36328125" style="1" customWidth="1"/>
    <col min="4356" max="4356" width="9.81640625" style="1" customWidth="1"/>
    <col min="4357" max="4357" width="7.453125" style="1" customWidth="1"/>
    <col min="4358" max="4358" width="10" style="1" customWidth="1"/>
    <col min="4359" max="4359" width="12.81640625" style="1" customWidth="1"/>
    <col min="4360" max="4608" width="8.7265625" style="1"/>
    <col min="4609" max="4609" width="8.81640625" style="1" customWidth="1"/>
    <col min="4610" max="4610" width="18.6328125" style="1" customWidth="1"/>
    <col min="4611" max="4611" width="7.36328125" style="1" customWidth="1"/>
    <col min="4612" max="4612" width="9.81640625" style="1" customWidth="1"/>
    <col min="4613" max="4613" width="7.453125" style="1" customWidth="1"/>
    <col min="4614" max="4614" width="10" style="1" customWidth="1"/>
    <col min="4615" max="4615" width="12.81640625" style="1" customWidth="1"/>
    <col min="4616" max="4864" width="8.7265625" style="1"/>
    <col min="4865" max="4865" width="8.81640625" style="1" customWidth="1"/>
    <col min="4866" max="4866" width="18.6328125" style="1" customWidth="1"/>
    <col min="4867" max="4867" width="7.36328125" style="1" customWidth="1"/>
    <col min="4868" max="4868" width="9.81640625" style="1" customWidth="1"/>
    <col min="4869" max="4869" width="7.453125" style="1" customWidth="1"/>
    <col min="4870" max="4870" width="10" style="1" customWidth="1"/>
    <col min="4871" max="4871" width="12.81640625" style="1" customWidth="1"/>
    <col min="4872" max="5120" width="8.7265625" style="1"/>
    <col min="5121" max="5121" width="8.81640625" style="1" customWidth="1"/>
    <col min="5122" max="5122" width="18.6328125" style="1" customWidth="1"/>
    <col min="5123" max="5123" width="7.36328125" style="1" customWidth="1"/>
    <col min="5124" max="5124" width="9.81640625" style="1" customWidth="1"/>
    <col min="5125" max="5125" width="7.453125" style="1" customWidth="1"/>
    <col min="5126" max="5126" width="10" style="1" customWidth="1"/>
    <col min="5127" max="5127" width="12.81640625" style="1" customWidth="1"/>
    <col min="5128" max="5376" width="8.7265625" style="1"/>
    <col min="5377" max="5377" width="8.81640625" style="1" customWidth="1"/>
    <col min="5378" max="5378" width="18.6328125" style="1" customWidth="1"/>
    <col min="5379" max="5379" width="7.36328125" style="1" customWidth="1"/>
    <col min="5380" max="5380" width="9.81640625" style="1" customWidth="1"/>
    <col min="5381" max="5381" width="7.453125" style="1" customWidth="1"/>
    <col min="5382" max="5382" width="10" style="1" customWidth="1"/>
    <col min="5383" max="5383" width="12.81640625" style="1" customWidth="1"/>
    <col min="5384" max="5632" width="8.7265625" style="1"/>
    <col min="5633" max="5633" width="8.81640625" style="1" customWidth="1"/>
    <col min="5634" max="5634" width="18.6328125" style="1" customWidth="1"/>
    <col min="5635" max="5635" width="7.36328125" style="1" customWidth="1"/>
    <col min="5636" max="5636" width="9.81640625" style="1" customWidth="1"/>
    <col min="5637" max="5637" width="7.453125" style="1" customWidth="1"/>
    <col min="5638" max="5638" width="10" style="1" customWidth="1"/>
    <col min="5639" max="5639" width="12.81640625" style="1" customWidth="1"/>
    <col min="5640" max="5888" width="8.7265625" style="1"/>
    <col min="5889" max="5889" width="8.81640625" style="1" customWidth="1"/>
    <col min="5890" max="5890" width="18.6328125" style="1" customWidth="1"/>
    <col min="5891" max="5891" width="7.36328125" style="1" customWidth="1"/>
    <col min="5892" max="5892" width="9.81640625" style="1" customWidth="1"/>
    <col min="5893" max="5893" width="7.453125" style="1" customWidth="1"/>
    <col min="5894" max="5894" width="10" style="1" customWidth="1"/>
    <col min="5895" max="5895" width="12.81640625" style="1" customWidth="1"/>
    <col min="5896" max="6144" width="8.7265625" style="1"/>
    <col min="6145" max="6145" width="8.81640625" style="1" customWidth="1"/>
    <col min="6146" max="6146" width="18.6328125" style="1" customWidth="1"/>
    <col min="6147" max="6147" width="7.36328125" style="1" customWidth="1"/>
    <col min="6148" max="6148" width="9.81640625" style="1" customWidth="1"/>
    <col min="6149" max="6149" width="7.453125" style="1" customWidth="1"/>
    <col min="6150" max="6150" width="10" style="1" customWidth="1"/>
    <col min="6151" max="6151" width="12.81640625" style="1" customWidth="1"/>
    <col min="6152" max="6400" width="8.7265625" style="1"/>
    <col min="6401" max="6401" width="8.81640625" style="1" customWidth="1"/>
    <col min="6402" max="6402" width="18.6328125" style="1" customWidth="1"/>
    <col min="6403" max="6403" width="7.36328125" style="1" customWidth="1"/>
    <col min="6404" max="6404" width="9.81640625" style="1" customWidth="1"/>
    <col min="6405" max="6405" width="7.453125" style="1" customWidth="1"/>
    <col min="6406" max="6406" width="10" style="1" customWidth="1"/>
    <col min="6407" max="6407" width="12.81640625" style="1" customWidth="1"/>
    <col min="6408" max="6656" width="8.7265625" style="1"/>
    <col min="6657" max="6657" width="8.81640625" style="1" customWidth="1"/>
    <col min="6658" max="6658" width="18.6328125" style="1" customWidth="1"/>
    <col min="6659" max="6659" width="7.36328125" style="1" customWidth="1"/>
    <col min="6660" max="6660" width="9.81640625" style="1" customWidth="1"/>
    <col min="6661" max="6661" width="7.453125" style="1" customWidth="1"/>
    <col min="6662" max="6662" width="10" style="1" customWidth="1"/>
    <col min="6663" max="6663" width="12.81640625" style="1" customWidth="1"/>
    <col min="6664" max="6912" width="8.7265625" style="1"/>
    <col min="6913" max="6913" width="8.81640625" style="1" customWidth="1"/>
    <col min="6914" max="6914" width="18.6328125" style="1" customWidth="1"/>
    <col min="6915" max="6915" width="7.36328125" style="1" customWidth="1"/>
    <col min="6916" max="6916" width="9.81640625" style="1" customWidth="1"/>
    <col min="6917" max="6917" width="7.453125" style="1" customWidth="1"/>
    <col min="6918" max="6918" width="10" style="1" customWidth="1"/>
    <col min="6919" max="6919" width="12.81640625" style="1" customWidth="1"/>
    <col min="6920" max="7168" width="8.7265625" style="1"/>
    <col min="7169" max="7169" width="8.81640625" style="1" customWidth="1"/>
    <col min="7170" max="7170" width="18.6328125" style="1" customWidth="1"/>
    <col min="7171" max="7171" width="7.36328125" style="1" customWidth="1"/>
    <col min="7172" max="7172" width="9.81640625" style="1" customWidth="1"/>
    <col min="7173" max="7173" width="7.453125" style="1" customWidth="1"/>
    <col min="7174" max="7174" width="10" style="1" customWidth="1"/>
    <col min="7175" max="7175" width="12.81640625" style="1" customWidth="1"/>
    <col min="7176" max="7424" width="8.7265625" style="1"/>
    <col min="7425" max="7425" width="8.81640625" style="1" customWidth="1"/>
    <col min="7426" max="7426" width="18.6328125" style="1" customWidth="1"/>
    <col min="7427" max="7427" width="7.36328125" style="1" customWidth="1"/>
    <col min="7428" max="7428" width="9.81640625" style="1" customWidth="1"/>
    <col min="7429" max="7429" width="7.453125" style="1" customWidth="1"/>
    <col min="7430" max="7430" width="10" style="1" customWidth="1"/>
    <col min="7431" max="7431" width="12.81640625" style="1" customWidth="1"/>
    <col min="7432" max="7680" width="8.7265625" style="1"/>
    <col min="7681" max="7681" width="8.81640625" style="1" customWidth="1"/>
    <col min="7682" max="7682" width="18.6328125" style="1" customWidth="1"/>
    <col min="7683" max="7683" width="7.36328125" style="1" customWidth="1"/>
    <col min="7684" max="7684" width="9.81640625" style="1" customWidth="1"/>
    <col min="7685" max="7685" width="7.453125" style="1" customWidth="1"/>
    <col min="7686" max="7686" width="10" style="1" customWidth="1"/>
    <col min="7687" max="7687" width="12.81640625" style="1" customWidth="1"/>
    <col min="7688" max="7936" width="8.7265625" style="1"/>
    <col min="7937" max="7937" width="8.81640625" style="1" customWidth="1"/>
    <col min="7938" max="7938" width="18.6328125" style="1" customWidth="1"/>
    <col min="7939" max="7939" width="7.36328125" style="1" customWidth="1"/>
    <col min="7940" max="7940" width="9.81640625" style="1" customWidth="1"/>
    <col min="7941" max="7941" width="7.453125" style="1" customWidth="1"/>
    <col min="7942" max="7942" width="10" style="1" customWidth="1"/>
    <col min="7943" max="7943" width="12.81640625" style="1" customWidth="1"/>
    <col min="7944" max="8192" width="8.7265625" style="1"/>
    <col min="8193" max="8193" width="8.81640625" style="1" customWidth="1"/>
    <col min="8194" max="8194" width="18.6328125" style="1" customWidth="1"/>
    <col min="8195" max="8195" width="7.36328125" style="1" customWidth="1"/>
    <col min="8196" max="8196" width="9.81640625" style="1" customWidth="1"/>
    <col min="8197" max="8197" width="7.453125" style="1" customWidth="1"/>
    <col min="8198" max="8198" width="10" style="1" customWidth="1"/>
    <col min="8199" max="8199" width="12.81640625" style="1" customWidth="1"/>
    <col min="8200" max="8448" width="8.7265625" style="1"/>
    <col min="8449" max="8449" width="8.81640625" style="1" customWidth="1"/>
    <col min="8450" max="8450" width="18.6328125" style="1" customWidth="1"/>
    <col min="8451" max="8451" width="7.36328125" style="1" customWidth="1"/>
    <col min="8452" max="8452" width="9.81640625" style="1" customWidth="1"/>
    <col min="8453" max="8453" width="7.453125" style="1" customWidth="1"/>
    <col min="8454" max="8454" width="10" style="1" customWidth="1"/>
    <col min="8455" max="8455" width="12.81640625" style="1" customWidth="1"/>
    <col min="8456" max="8704" width="8.7265625" style="1"/>
    <col min="8705" max="8705" width="8.81640625" style="1" customWidth="1"/>
    <col min="8706" max="8706" width="18.6328125" style="1" customWidth="1"/>
    <col min="8707" max="8707" width="7.36328125" style="1" customWidth="1"/>
    <col min="8708" max="8708" width="9.81640625" style="1" customWidth="1"/>
    <col min="8709" max="8709" width="7.453125" style="1" customWidth="1"/>
    <col min="8710" max="8710" width="10" style="1" customWidth="1"/>
    <col min="8711" max="8711" width="12.81640625" style="1" customWidth="1"/>
    <col min="8712" max="8960" width="8.7265625" style="1"/>
    <col min="8961" max="8961" width="8.81640625" style="1" customWidth="1"/>
    <col min="8962" max="8962" width="18.6328125" style="1" customWidth="1"/>
    <col min="8963" max="8963" width="7.36328125" style="1" customWidth="1"/>
    <col min="8964" max="8964" width="9.81640625" style="1" customWidth="1"/>
    <col min="8965" max="8965" width="7.453125" style="1" customWidth="1"/>
    <col min="8966" max="8966" width="10" style="1" customWidth="1"/>
    <col min="8967" max="8967" width="12.81640625" style="1" customWidth="1"/>
    <col min="8968" max="9216" width="8.7265625" style="1"/>
    <col min="9217" max="9217" width="8.81640625" style="1" customWidth="1"/>
    <col min="9218" max="9218" width="18.6328125" style="1" customWidth="1"/>
    <col min="9219" max="9219" width="7.36328125" style="1" customWidth="1"/>
    <col min="9220" max="9220" width="9.81640625" style="1" customWidth="1"/>
    <col min="9221" max="9221" width="7.453125" style="1" customWidth="1"/>
    <col min="9222" max="9222" width="10" style="1" customWidth="1"/>
    <col min="9223" max="9223" width="12.81640625" style="1" customWidth="1"/>
    <col min="9224" max="9472" width="8.7265625" style="1"/>
    <col min="9473" max="9473" width="8.81640625" style="1" customWidth="1"/>
    <col min="9474" max="9474" width="18.6328125" style="1" customWidth="1"/>
    <col min="9475" max="9475" width="7.36328125" style="1" customWidth="1"/>
    <col min="9476" max="9476" width="9.81640625" style="1" customWidth="1"/>
    <col min="9477" max="9477" width="7.453125" style="1" customWidth="1"/>
    <col min="9478" max="9478" width="10" style="1" customWidth="1"/>
    <col min="9479" max="9479" width="12.81640625" style="1" customWidth="1"/>
    <col min="9480" max="9728" width="8.7265625" style="1"/>
    <col min="9729" max="9729" width="8.81640625" style="1" customWidth="1"/>
    <col min="9730" max="9730" width="18.6328125" style="1" customWidth="1"/>
    <col min="9731" max="9731" width="7.36328125" style="1" customWidth="1"/>
    <col min="9732" max="9732" width="9.81640625" style="1" customWidth="1"/>
    <col min="9733" max="9733" width="7.453125" style="1" customWidth="1"/>
    <col min="9734" max="9734" width="10" style="1" customWidth="1"/>
    <col min="9735" max="9735" width="12.81640625" style="1" customWidth="1"/>
    <col min="9736" max="9984" width="8.7265625" style="1"/>
    <col min="9985" max="9985" width="8.81640625" style="1" customWidth="1"/>
    <col min="9986" max="9986" width="18.6328125" style="1" customWidth="1"/>
    <col min="9987" max="9987" width="7.36328125" style="1" customWidth="1"/>
    <col min="9988" max="9988" width="9.81640625" style="1" customWidth="1"/>
    <col min="9989" max="9989" width="7.453125" style="1" customWidth="1"/>
    <col min="9990" max="9990" width="10" style="1" customWidth="1"/>
    <col min="9991" max="9991" width="12.81640625" style="1" customWidth="1"/>
    <col min="9992" max="10240" width="8.7265625" style="1"/>
    <col min="10241" max="10241" width="8.81640625" style="1" customWidth="1"/>
    <col min="10242" max="10242" width="18.6328125" style="1" customWidth="1"/>
    <col min="10243" max="10243" width="7.36328125" style="1" customWidth="1"/>
    <col min="10244" max="10244" width="9.81640625" style="1" customWidth="1"/>
    <col min="10245" max="10245" width="7.453125" style="1" customWidth="1"/>
    <col min="10246" max="10246" width="10" style="1" customWidth="1"/>
    <col min="10247" max="10247" width="12.81640625" style="1" customWidth="1"/>
    <col min="10248" max="10496" width="8.7265625" style="1"/>
    <col min="10497" max="10497" width="8.81640625" style="1" customWidth="1"/>
    <col min="10498" max="10498" width="18.6328125" style="1" customWidth="1"/>
    <col min="10499" max="10499" width="7.36328125" style="1" customWidth="1"/>
    <col min="10500" max="10500" width="9.81640625" style="1" customWidth="1"/>
    <col min="10501" max="10501" width="7.453125" style="1" customWidth="1"/>
    <col min="10502" max="10502" width="10" style="1" customWidth="1"/>
    <col min="10503" max="10503" width="12.81640625" style="1" customWidth="1"/>
    <col min="10504" max="10752" width="8.7265625" style="1"/>
    <col min="10753" max="10753" width="8.81640625" style="1" customWidth="1"/>
    <col min="10754" max="10754" width="18.6328125" style="1" customWidth="1"/>
    <col min="10755" max="10755" width="7.36328125" style="1" customWidth="1"/>
    <col min="10756" max="10756" width="9.81640625" style="1" customWidth="1"/>
    <col min="10757" max="10757" width="7.453125" style="1" customWidth="1"/>
    <col min="10758" max="10758" width="10" style="1" customWidth="1"/>
    <col min="10759" max="10759" width="12.81640625" style="1" customWidth="1"/>
    <col min="10760" max="11008" width="8.7265625" style="1"/>
    <col min="11009" max="11009" width="8.81640625" style="1" customWidth="1"/>
    <col min="11010" max="11010" width="18.6328125" style="1" customWidth="1"/>
    <col min="11011" max="11011" width="7.36328125" style="1" customWidth="1"/>
    <col min="11012" max="11012" width="9.81640625" style="1" customWidth="1"/>
    <col min="11013" max="11013" width="7.453125" style="1" customWidth="1"/>
    <col min="11014" max="11014" width="10" style="1" customWidth="1"/>
    <col min="11015" max="11015" width="12.81640625" style="1" customWidth="1"/>
    <col min="11016" max="11264" width="8.7265625" style="1"/>
    <col min="11265" max="11265" width="8.81640625" style="1" customWidth="1"/>
    <col min="11266" max="11266" width="18.6328125" style="1" customWidth="1"/>
    <col min="11267" max="11267" width="7.36328125" style="1" customWidth="1"/>
    <col min="11268" max="11268" width="9.81640625" style="1" customWidth="1"/>
    <col min="11269" max="11269" width="7.453125" style="1" customWidth="1"/>
    <col min="11270" max="11270" width="10" style="1" customWidth="1"/>
    <col min="11271" max="11271" width="12.81640625" style="1" customWidth="1"/>
    <col min="11272" max="11520" width="8.7265625" style="1"/>
    <col min="11521" max="11521" width="8.81640625" style="1" customWidth="1"/>
    <col min="11522" max="11522" width="18.6328125" style="1" customWidth="1"/>
    <col min="11523" max="11523" width="7.36328125" style="1" customWidth="1"/>
    <col min="11524" max="11524" width="9.81640625" style="1" customWidth="1"/>
    <col min="11525" max="11525" width="7.453125" style="1" customWidth="1"/>
    <col min="11526" max="11526" width="10" style="1" customWidth="1"/>
    <col min="11527" max="11527" width="12.81640625" style="1" customWidth="1"/>
    <col min="11528" max="11776" width="8.7265625" style="1"/>
    <col min="11777" max="11777" width="8.81640625" style="1" customWidth="1"/>
    <col min="11778" max="11778" width="18.6328125" style="1" customWidth="1"/>
    <col min="11779" max="11779" width="7.36328125" style="1" customWidth="1"/>
    <col min="11780" max="11780" width="9.81640625" style="1" customWidth="1"/>
    <col min="11781" max="11781" width="7.453125" style="1" customWidth="1"/>
    <col min="11782" max="11782" width="10" style="1" customWidth="1"/>
    <col min="11783" max="11783" width="12.81640625" style="1" customWidth="1"/>
    <col min="11784" max="12032" width="8.7265625" style="1"/>
    <col min="12033" max="12033" width="8.81640625" style="1" customWidth="1"/>
    <col min="12034" max="12034" width="18.6328125" style="1" customWidth="1"/>
    <col min="12035" max="12035" width="7.36328125" style="1" customWidth="1"/>
    <col min="12036" max="12036" width="9.81640625" style="1" customWidth="1"/>
    <col min="12037" max="12037" width="7.453125" style="1" customWidth="1"/>
    <col min="12038" max="12038" width="10" style="1" customWidth="1"/>
    <col min="12039" max="12039" width="12.81640625" style="1" customWidth="1"/>
    <col min="12040" max="12288" width="8.7265625" style="1"/>
    <col min="12289" max="12289" width="8.81640625" style="1" customWidth="1"/>
    <col min="12290" max="12290" width="18.6328125" style="1" customWidth="1"/>
    <col min="12291" max="12291" width="7.36328125" style="1" customWidth="1"/>
    <col min="12292" max="12292" width="9.81640625" style="1" customWidth="1"/>
    <col min="12293" max="12293" width="7.453125" style="1" customWidth="1"/>
    <col min="12294" max="12294" width="10" style="1" customWidth="1"/>
    <col min="12295" max="12295" width="12.81640625" style="1" customWidth="1"/>
    <col min="12296" max="12544" width="8.7265625" style="1"/>
    <col min="12545" max="12545" width="8.81640625" style="1" customWidth="1"/>
    <col min="12546" max="12546" width="18.6328125" style="1" customWidth="1"/>
    <col min="12547" max="12547" width="7.36328125" style="1" customWidth="1"/>
    <col min="12548" max="12548" width="9.81640625" style="1" customWidth="1"/>
    <col min="12549" max="12549" width="7.453125" style="1" customWidth="1"/>
    <col min="12550" max="12550" width="10" style="1" customWidth="1"/>
    <col min="12551" max="12551" width="12.81640625" style="1" customWidth="1"/>
    <col min="12552" max="12800" width="8.7265625" style="1"/>
    <col min="12801" max="12801" width="8.81640625" style="1" customWidth="1"/>
    <col min="12802" max="12802" width="18.6328125" style="1" customWidth="1"/>
    <col min="12803" max="12803" width="7.36328125" style="1" customWidth="1"/>
    <col min="12804" max="12804" width="9.81640625" style="1" customWidth="1"/>
    <col min="12805" max="12805" width="7.453125" style="1" customWidth="1"/>
    <col min="12806" max="12806" width="10" style="1" customWidth="1"/>
    <col min="12807" max="12807" width="12.81640625" style="1" customWidth="1"/>
    <col min="12808" max="13056" width="8.7265625" style="1"/>
    <col min="13057" max="13057" width="8.81640625" style="1" customWidth="1"/>
    <col min="13058" max="13058" width="18.6328125" style="1" customWidth="1"/>
    <col min="13059" max="13059" width="7.36328125" style="1" customWidth="1"/>
    <col min="13060" max="13060" width="9.81640625" style="1" customWidth="1"/>
    <col min="13061" max="13061" width="7.453125" style="1" customWidth="1"/>
    <col min="13062" max="13062" width="10" style="1" customWidth="1"/>
    <col min="13063" max="13063" width="12.81640625" style="1" customWidth="1"/>
    <col min="13064" max="13312" width="8.7265625" style="1"/>
    <col min="13313" max="13313" width="8.81640625" style="1" customWidth="1"/>
    <col min="13314" max="13314" width="18.6328125" style="1" customWidth="1"/>
    <col min="13315" max="13315" width="7.36328125" style="1" customWidth="1"/>
    <col min="13316" max="13316" width="9.81640625" style="1" customWidth="1"/>
    <col min="13317" max="13317" width="7.453125" style="1" customWidth="1"/>
    <col min="13318" max="13318" width="10" style="1" customWidth="1"/>
    <col min="13319" max="13319" width="12.81640625" style="1" customWidth="1"/>
    <col min="13320" max="13568" width="8.7265625" style="1"/>
    <col min="13569" max="13569" width="8.81640625" style="1" customWidth="1"/>
    <col min="13570" max="13570" width="18.6328125" style="1" customWidth="1"/>
    <col min="13571" max="13571" width="7.36328125" style="1" customWidth="1"/>
    <col min="13572" max="13572" width="9.81640625" style="1" customWidth="1"/>
    <col min="13573" max="13573" width="7.453125" style="1" customWidth="1"/>
    <col min="13574" max="13574" width="10" style="1" customWidth="1"/>
    <col min="13575" max="13575" width="12.81640625" style="1" customWidth="1"/>
    <col min="13576" max="13824" width="8.7265625" style="1"/>
    <col min="13825" max="13825" width="8.81640625" style="1" customWidth="1"/>
    <col min="13826" max="13826" width="18.6328125" style="1" customWidth="1"/>
    <col min="13827" max="13827" width="7.36328125" style="1" customWidth="1"/>
    <col min="13828" max="13828" width="9.81640625" style="1" customWidth="1"/>
    <col min="13829" max="13829" width="7.453125" style="1" customWidth="1"/>
    <col min="13830" max="13830" width="10" style="1" customWidth="1"/>
    <col min="13831" max="13831" width="12.81640625" style="1" customWidth="1"/>
    <col min="13832" max="14080" width="8.7265625" style="1"/>
    <col min="14081" max="14081" width="8.81640625" style="1" customWidth="1"/>
    <col min="14082" max="14082" width="18.6328125" style="1" customWidth="1"/>
    <col min="14083" max="14083" width="7.36328125" style="1" customWidth="1"/>
    <col min="14084" max="14084" width="9.81640625" style="1" customWidth="1"/>
    <col min="14085" max="14085" width="7.453125" style="1" customWidth="1"/>
    <col min="14086" max="14086" width="10" style="1" customWidth="1"/>
    <col min="14087" max="14087" width="12.81640625" style="1" customWidth="1"/>
    <col min="14088" max="14336" width="8.7265625" style="1"/>
    <col min="14337" max="14337" width="8.81640625" style="1" customWidth="1"/>
    <col min="14338" max="14338" width="18.6328125" style="1" customWidth="1"/>
    <col min="14339" max="14339" width="7.36328125" style="1" customWidth="1"/>
    <col min="14340" max="14340" width="9.81640625" style="1" customWidth="1"/>
    <col min="14341" max="14341" width="7.453125" style="1" customWidth="1"/>
    <col min="14342" max="14342" width="10" style="1" customWidth="1"/>
    <col min="14343" max="14343" width="12.81640625" style="1" customWidth="1"/>
    <col min="14344" max="14592" width="8.7265625" style="1"/>
    <col min="14593" max="14593" width="8.81640625" style="1" customWidth="1"/>
    <col min="14594" max="14594" width="18.6328125" style="1" customWidth="1"/>
    <col min="14595" max="14595" width="7.36328125" style="1" customWidth="1"/>
    <col min="14596" max="14596" width="9.81640625" style="1" customWidth="1"/>
    <col min="14597" max="14597" width="7.453125" style="1" customWidth="1"/>
    <col min="14598" max="14598" width="10" style="1" customWidth="1"/>
    <col min="14599" max="14599" width="12.81640625" style="1" customWidth="1"/>
    <col min="14600" max="14848" width="8.7265625" style="1"/>
    <col min="14849" max="14849" width="8.81640625" style="1" customWidth="1"/>
    <col min="14850" max="14850" width="18.6328125" style="1" customWidth="1"/>
    <col min="14851" max="14851" width="7.36328125" style="1" customWidth="1"/>
    <col min="14852" max="14852" width="9.81640625" style="1" customWidth="1"/>
    <col min="14853" max="14853" width="7.453125" style="1" customWidth="1"/>
    <col min="14854" max="14854" width="10" style="1" customWidth="1"/>
    <col min="14855" max="14855" width="12.81640625" style="1" customWidth="1"/>
    <col min="14856" max="15104" width="8.7265625" style="1"/>
    <col min="15105" max="15105" width="8.81640625" style="1" customWidth="1"/>
    <col min="15106" max="15106" width="18.6328125" style="1" customWidth="1"/>
    <col min="15107" max="15107" width="7.36328125" style="1" customWidth="1"/>
    <col min="15108" max="15108" width="9.81640625" style="1" customWidth="1"/>
    <col min="15109" max="15109" width="7.453125" style="1" customWidth="1"/>
    <col min="15110" max="15110" width="10" style="1" customWidth="1"/>
    <col min="15111" max="15111" width="12.81640625" style="1" customWidth="1"/>
    <col min="15112" max="15360" width="8.7265625" style="1"/>
    <col min="15361" max="15361" width="8.81640625" style="1" customWidth="1"/>
    <col min="15362" max="15362" width="18.6328125" style="1" customWidth="1"/>
    <col min="15363" max="15363" width="7.36328125" style="1" customWidth="1"/>
    <col min="15364" max="15364" width="9.81640625" style="1" customWidth="1"/>
    <col min="15365" max="15365" width="7.453125" style="1" customWidth="1"/>
    <col min="15366" max="15366" width="10" style="1" customWidth="1"/>
    <col min="15367" max="15367" width="12.81640625" style="1" customWidth="1"/>
    <col min="15368" max="15616" width="8.7265625" style="1"/>
    <col min="15617" max="15617" width="8.81640625" style="1" customWidth="1"/>
    <col min="15618" max="15618" width="18.6328125" style="1" customWidth="1"/>
    <col min="15619" max="15619" width="7.36328125" style="1" customWidth="1"/>
    <col min="15620" max="15620" width="9.81640625" style="1" customWidth="1"/>
    <col min="15621" max="15621" width="7.453125" style="1" customWidth="1"/>
    <col min="15622" max="15622" width="10" style="1" customWidth="1"/>
    <col min="15623" max="15623" width="12.81640625" style="1" customWidth="1"/>
    <col min="15624" max="15872" width="8.7265625" style="1"/>
    <col min="15873" max="15873" width="8.81640625" style="1" customWidth="1"/>
    <col min="15874" max="15874" width="18.6328125" style="1" customWidth="1"/>
    <col min="15875" max="15875" width="7.36328125" style="1" customWidth="1"/>
    <col min="15876" max="15876" width="9.81640625" style="1" customWidth="1"/>
    <col min="15877" max="15877" width="7.453125" style="1" customWidth="1"/>
    <col min="15878" max="15878" width="10" style="1" customWidth="1"/>
    <col min="15879" max="15879" width="12.81640625" style="1" customWidth="1"/>
    <col min="15880" max="16128" width="8.7265625" style="1"/>
    <col min="16129" max="16129" width="8.81640625" style="1" customWidth="1"/>
    <col min="16130" max="16130" width="18.6328125" style="1" customWidth="1"/>
    <col min="16131" max="16131" width="7.36328125" style="1" customWidth="1"/>
    <col min="16132" max="16132" width="9.81640625" style="1" customWidth="1"/>
    <col min="16133" max="16133" width="7.453125" style="1" customWidth="1"/>
    <col min="16134" max="16134" width="10" style="1" customWidth="1"/>
    <col min="16135" max="16135" width="12.81640625" style="1" customWidth="1"/>
    <col min="16136" max="16384" width="8.7265625" style="1"/>
  </cols>
  <sheetData>
    <row r="1" spans="1:16" ht="14" x14ac:dyDescent="0.3">
      <c r="A1" s="2" t="s">
        <v>696</v>
      </c>
      <c r="B1" s="2" t="s">
        <v>697</v>
      </c>
      <c r="C1" s="5" t="s">
        <v>566</v>
      </c>
      <c r="D1" s="5" t="s">
        <v>567</v>
      </c>
      <c r="E1" s="5" t="s">
        <v>2</v>
      </c>
      <c r="F1" s="5" t="s">
        <v>3</v>
      </c>
      <c r="G1" s="5" t="s">
        <v>568</v>
      </c>
      <c r="H1" s="5" t="s">
        <v>569</v>
      </c>
      <c r="I1" s="5" t="s">
        <v>570</v>
      </c>
      <c r="J1" s="2" t="s">
        <v>695</v>
      </c>
      <c r="K1" s="2" t="s">
        <v>703</v>
      </c>
      <c r="L1" s="2" t="s">
        <v>698</v>
      </c>
      <c r="M1" s="2" t="s">
        <v>699</v>
      </c>
      <c r="N1" s="2" t="s">
        <v>700</v>
      </c>
      <c r="O1" s="2" t="s">
        <v>7</v>
      </c>
      <c r="P1" s="2" t="s">
        <v>702</v>
      </c>
    </row>
    <row r="2" spans="1:16" x14ac:dyDescent="0.25">
      <c r="A2" s="1" t="str">
        <f t="shared" ref="A2:A65" si="0">CONCATENATE(D2,F2)</f>
        <v>BellanovaAtalanta</v>
      </c>
      <c r="B2" s="1" t="str">
        <f>CONCATENATE(D2," ",E2,F2)</f>
        <v>Bellanova R.Atalanta</v>
      </c>
      <c r="C2" s="1">
        <v>1065433</v>
      </c>
      <c r="D2" s="1" t="s">
        <v>177</v>
      </c>
      <c r="E2" s="1" t="s">
        <v>581</v>
      </c>
      <c r="F2" s="1" t="s">
        <v>12</v>
      </c>
      <c r="G2" s="1" t="s">
        <v>92</v>
      </c>
      <c r="H2" s="1">
        <v>6</v>
      </c>
      <c r="I2" s="1">
        <v>12</v>
      </c>
      <c r="J2" s="1" t="str">
        <f>VLOOKUP(A2,'Leghe Fantacalcio'!A:I,1,FALSE)</f>
        <v>BellanovaAtalanta</v>
      </c>
      <c r="K2" s="1" t="e">
        <f>VLOOKUP(B2,'Leghe Fantacalcio'!A:I,1,FALSE)</f>
        <v>#N/A</v>
      </c>
      <c r="L2" s="1">
        <f>IF(ISNA(VLOOKUP(A2,'Leghe Fantacalcio'!A:I,2,FALSE)),"",VLOOKUP(A2,'Leghe Fantacalcio'!A:I,2,FALSE))</f>
        <v>4887</v>
      </c>
      <c r="M2" s="1" t="str">
        <f>IF(ISNA(VLOOKUP(B2,'Leghe Fantacalcio'!A:I,2,FALSE)),"",VLOOKUP(B2,'Leghe Fantacalcio'!A:I,2,FALSE))</f>
        <v/>
      </c>
      <c r="N2" s="1">
        <f>IFERROR(VALUE(CONCATENATE(L2,M2)),"")</f>
        <v>4887</v>
      </c>
      <c r="O2" s="1">
        <f>IFERROR(VLOOKUP(N2,'Leghe Fantacalcio'!B:I,8,FALSE),0)</f>
        <v>16</v>
      </c>
      <c r="P2" s="1" t="str">
        <f>CONCATENATE("update giocatori set fvm = ",O2," where id = ",C2,";")</f>
        <v>update giocatori set fvm = 16 where id = 1065433;</v>
      </c>
    </row>
    <row r="3" spans="1:16" x14ac:dyDescent="0.25">
      <c r="A3" s="1" t="str">
        <f t="shared" si="0"/>
        <v>BernasconiAtalanta</v>
      </c>
      <c r="B3" s="1" t="str">
        <f t="shared" ref="B3:B66" si="1">CONCATENATE(D3," ",E3,F3)</f>
        <v>Bernasconi L.Atalanta</v>
      </c>
      <c r="C3" s="1">
        <v>1102450</v>
      </c>
      <c r="D3" s="1" t="s">
        <v>178</v>
      </c>
      <c r="E3" s="1" t="s">
        <v>590</v>
      </c>
      <c r="F3" s="1" t="s">
        <v>12</v>
      </c>
      <c r="G3" s="1" t="s">
        <v>92</v>
      </c>
      <c r="H3" s="1">
        <v>6</v>
      </c>
      <c r="I3" s="1">
        <v>11</v>
      </c>
      <c r="J3" s="1" t="str">
        <f>VLOOKUP(A3,'Leghe Fantacalcio'!A:I,1,FALSE)</f>
        <v>BernasconiAtalanta</v>
      </c>
      <c r="K3" s="1" t="e">
        <f>VLOOKUP(B3,'Leghe Fantacalcio'!A:I,1,FALSE)</f>
        <v>#N/A</v>
      </c>
      <c r="L3" s="1">
        <f>IF(ISNA(VLOOKUP(A3,'Leghe Fantacalcio'!A:I,2,FALSE)),"",VLOOKUP(A3,'Leghe Fantacalcio'!A:I,2,FALSE))</f>
        <v>7219</v>
      </c>
      <c r="M3" s="1" t="str">
        <f>IF(ISNA(VLOOKUP(B3,'Leghe Fantacalcio'!A:I,2,FALSE)),"",VLOOKUP(B3,'Leghe Fantacalcio'!A:I,2,FALSE))</f>
        <v/>
      </c>
      <c r="N3" s="1">
        <f t="shared" ref="N3:N66" si="2">IFERROR(VALUE(CONCATENATE(L3,M3)),"")</f>
        <v>7219</v>
      </c>
      <c r="O3" s="1">
        <f>IFERROR(VLOOKUP(N3,'Leghe Fantacalcio'!B:I,8,FALSE),0)</f>
        <v>14</v>
      </c>
      <c r="P3" s="1" t="str">
        <f t="shared" ref="P3:P66" si="3">CONCATENATE("update giocatori set fvm = ",O3," where id = ",C3,";")</f>
        <v>update giocatori set fvm = 14 where id = 1102450;</v>
      </c>
    </row>
    <row r="4" spans="1:16" x14ac:dyDescent="0.25">
      <c r="A4" s="1" t="str">
        <f t="shared" si="0"/>
        <v>CarnesecchiAtalanta</v>
      </c>
      <c r="B4" s="1" t="str">
        <f t="shared" si="1"/>
        <v>Carnesecchi M.Atalanta</v>
      </c>
      <c r="C4" s="1">
        <v>1070334</v>
      </c>
      <c r="D4" s="1" t="s">
        <v>11</v>
      </c>
      <c r="E4" s="1" t="s">
        <v>572</v>
      </c>
      <c r="F4" s="1" t="s">
        <v>12</v>
      </c>
      <c r="G4" s="1" t="s">
        <v>8</v>
      </c>
      <c r="H4" s="1">
        <v>6</v>
      </c>
      <c r="I4" s="1">
        <v>20</v>
      </c>
      <c r="J4" s="1" t="str">
        <f>VLOOKUP(A4,'Leghe Fantacalcio'!A:I,1,FALSE)</f>
        <v>CarnesecchiAtalanta</v>
      </c>
      <c r="K4" s="1" t="e">
        <f>VLOOKUP(B4,'Leghe Fantacalcio'!A:I,1,FALSE)</f>
        <v>#N/A</v>
      </c>
      <c r="L4" s="1">
        <f>IF(ISNA(VLOOKUP(A4,'Leghe Fantacalcio'!A:I,2,FALSE)),"",VLOOKUP(A4,'Leghe Fantacalcio'!A:I,2,FALSE))</f>
        <v>4431</v>
      </c>
      <c r="M4" s="1" t="str">
        <f>IF(ISNA(VLOOKUP(B4,'Leghe Fantacalcio'!A:I,2,FALSE)),"",VLOOKUP(B4,'Leghe Fantacalcio'!A:I,2,FALSE))</f>
        <v/>
      </c>
      <c r="N4" s="1">
        <f t="shared" si="2"/>
        <v>4431</v>
      </c>
      <c r="O4" s="1">
        <f>IFERROR(VLOOKUP(N4,'Leghe Fantacalcio'!B:I,8,FALSE),0)</f>
        <v>56</v>
      </c>
      <c r="P4" s="1" t="str">
        <f t="shared" si="3"/>
        <v>update giocatori set fvm = 56 where id = 1070334;</v>
      </c>
    </row>
    <row r="5" spans="1:16" x14ac:dyDescent="0.25">
      <c r="A5" s="1" t="str">
        <f t="shared" si="0"/>
        <v>De KetelaereAtalanta</v>
      </c>
      <c r="B5" s="1" t="str">
        <f t="shared" si="1"/>
        <v>De Ketelaere C.Atalanta</v>
      </c>
      <c r="C5" s="1">
        <v>1095519</v>
      </c>
      <c r="D5" s="1" t="s">
        <v>498</v>
      </c>
      <c r="E5" s="1" t="s">
        <v>592</v>
      </c>
      <c r="F5" s="1" t="s">
        <v>12</v>
      </c>
      <c r="G5" s="1" t="s">
        <v>478</v>
      </c>
      <c r="H5" s="1">
        <v>6</v>
      </c>
      <c r="I5" s="1">
        <v>33</v>
      </c>
      <c r="J5" s="1" t="str">
        <f>VLOOKUP(A5,'Leghe Fantacalcio'!A:I,1,FALSE)</f>
        <v>De KetelaereAtalanta</v>
      </c>
      <c r="K5" s="1" t="e">
        <f>VLOOKUP(B5,'Leghe Fantacalcio'!A:I,1,FALSE)</f>
        <v>#N/A</v>
      </c>
      <c r="L5" s="1">
        <f>IF(ISNA(VLOOKUP(A5,'Leghe Fantacalcio'!A:I,2,FALSE)),"",VLOOKUP(A5,'Leghe Fantacalcio'!A:I,2,FALSE))</f>
        <v>5995</v>
      </c>
      <c r="M5" s="1" t="str">
        <f>IF(ISNA(VLOOKUP(B5,'Leghe Fantacalcio'!A:I,2,FALSE)),"",VLOOKUP(B5,'Leghe Fantacalcio'!A:I,2,FALSE))</f>
        <v/>
      </c>
      <c r="N5" s="1">
        <f t="shared" si="2"/>
        <v>5995</v>
      </c>
      <c r="O5" s="1">
        <f>IFERROR(VLOOKUP(N5,'Leghe Fantacalcio'!B:I,8,FALSE),0)</f>
        <v>64</v>
      </c>
      <c r="P5" s="1" t="str">
        <f t="shared" si="3"/>
        <v>update giocatori set fvm = 64 where id = 1095519;</v>
      </c>
    </row>
    <row r="6" spans="1:16" x14ac:dyDescent="0.25">
      <c r="A6" s="1" t="str">
        <f t="shared" si="0"/>
        <v>Ederson D.S.Atalanta</v>
      </c>
      <c r="B6" s="1" t="str">
        <f t="shared" si="1"/>
        <v>Ederson D.S. Atalanta</v>
      </c>
      <c r="C6" s="1">
        <v>1112712</v>
      </c>
      <c r="D6" s="4" t="s">
        <v>305</v>
      </c>
      <c r="E6" s="1" t="s">
        <v>579</v>
      </c>
      <c r="F6" s="1" t="s">
        <v>12</v>
      </c>
      <c r="G6" s="1" t="s">
        <v>283</v>
      </c>
      <c r="H6" s="1">
        <v>6</v>
      </c>
      <c r="I6" s="1">
        <v>31</v>
      </c>
      <c r="J6" s="1" t="str">
        <f>VLOOKUP(A6,'Leghe Fantacalcio'!A:I,1,FALSE)</f>
        <v>Ederson D.S.Atalanta</v>
      </c>
      <c r="K6" s="1" t="e">
        <f>VLOOKUP(B6,'Leghe Fantacalcio'!A:I,1,FALSE)</f>
        <v>#N/A</v>
      </c>
      <c r="L6" s="1">
        <f>IF(ISNA(VLOOKUP(A6,'Leghe Fantacalcio'!A:I,2,FALSE)),"",VLOOKUP(A6,'Leghe Fantacalcio'!A:I,2,FALSE))</f>
        <v>5792</v>
      </c>
      <c r="M6" s="1" t="str">
        <f>IF(ISNA(VLOOKUP(B6,'Leghe Fantacalcio'!A:I,2,FALSE)),"",VLOOKUP(B6,'Leghe Fantacalcio'!A:I,2,FALSE))</f>
        <v/>
      </c>
      <c r="N6" s="1">
        <f t="shared" si="2"/>
        <v>5792</v>
      </c>
      <c r="O6" s="1">
        <f>IFERROR(VLOOKUP(N6,'Leghe Fantacalcio'!B:I,8,FALSE),0)</f>
        <v>45</v>
      </c>
      <c r="P6" s="1" t="str">
        <f t="shared" si="3"/>
        <v>update giocatori set fvm = 45 where id = 1112712;</v>
      </c>
    </row>
    <row r="7" spans="1:16" x14ac:dyDescent="0.25">
      <c r="A7" s="1" t="str">
        <f t="shared" si="0"/>
        <v>ElmasAtalanta</v>
      </c>
      <c r="B7" s="1" t="str">
        <f t="shared" si="1"/>
        <v>Elmas E.Atalanta</v>
      </c>
      <c r="C7" s="1">
        <v>1053662</v>
      </c>
      <c r="D7" s="1" t="s">
        <v>391</v>
      </c>
      <c r="E7" s="1" t="s">
        <v>573</v>
      </c>
      <c r="F7" s="1" t="s">
        <v>12</v>
      </c>
      <c r="G7" s="1" t="s">
        <v>283</v>
      </c>
      <c r="H7" s="1">
        <v>6</v>
      </c>
      <c r="I7" s="1">
        <v>24</v>
      </c>
      <c r="J7" s="1" t="str">
        <f>VLOOKUP(A7,'Leghe Fantacalcio'!A:I,1,FALSE)</f>
        <v>ElmasAtalanta</v>
      </c>
      <c r="K7" s="1" t="e">
        <f>VLOOKUP(B7,'Leghe Fantacalcio'!A:I,1,FALSE)</f>
        <v>#N/A</v>
      </c>
      <c r="L7" s="1">
        <f>IF(ISNA(VLOOKUP(A7,'Leghe Fantacalcio'!A:I,2,FALSE)),"",VLOOKUP(A7,'Leghe Fantacalcio'!A:I,2,FALSE))</f>
        <v>4479</v>
      </c>
      <c r="M7" s="1" t="str">
        <f>IF(ISNA(VLOOKUP(B7,'Leghe Fantacalcio'!A:I,2,FALSE)),"",VLOOKUP(B7,'Leghe Fantacalcio'!A:I,2,FALSE))</f>
        <v/>
      </c>
      <c r="N7" s="1">
        <f t="shared" si="2"/>
        <v>4479</v>
      </c>
      <c r="O7" s="1">
        <f>IFERROR(VLOOKUP(N7,'Leghe Fantacalcio'!B:I,8,FALSE),0)</f>
        <v>17</v>
      </c>
      <c r="P7" s="1" t="str">
        <f t="shared" si="3"/>
        <v>update giocatori set fvm = 17 where id = 1053662;</v>
      </c>
    </row>
    <row r="8" spans="1:16" x14ac:dyDescent="0.25">
      <c r="A8" s="1" t="str">
        <f t="shared" si="0"/>
        <v>GaetanoAtalanta</v>
      </c>
      <c r="B8" s="1" t="str">
        <f t="shared" si="1"/>
        <v>Gaetano G.Atalanta</v>
      </c>
      <c r="C8" s="1">
        <v>1067792</v>
      </c>
      <c r="D8" s="1" t="s">
        <v>378</v>
      </c>
      <c r="E8" s="1" t="s">
        <v>575</v>
      </c>
      <c r="F8" s="1" t="s">
        <v>12</v>
      </c>
      <c r="G8" s="1" t="s">
        <v>283</v>
      </c>
      <c r="H8" s="1">
        <v>6</v>
      </c>
      <c r="I8" s="1">
        <v>15</v>
      </c>
      <c r="J8" s="1" t="str">
        <f>VLOOKUP(A8,'Leghe Fantacalcio'!A:I,1,FALSE)</f>
        <v>GaetanoAtalanta</v>
      </c>
      <c r="K8" s="1" t="e">
        <f>VLOOKUP(B8,'Leghe Fantacalcio'!A:I,1,FALSE)</f>
        <v>#N/A</v>
      </c>
      <c r="L8" s="1">
        <f>IF(ISNA(VLOOKUP(A8,'Leghe Fantacalcio'!A:I,2,FALSE)),"",VLOOKUP(A8,'Leghe Fantacalcio'!A:I,2,FALSE))</f>
        <v>4364</v>
      </c>
      <c r="M8" s="1" t="str">
        <f>IF(ISNA(VLOOKUP(B8,'Leghe Fantacalcio'!A:I,2,FALSE)),"",VLOOKUP(B8,'Leghe Fantacalcio'!A:I,2,FALSE))</f>
        <v/>
      </c>
      <c r="N8" s="1">
        <f t="shared" si="2"/>
        <v>4364</v>
      </c>
      <c r="O8" s="1">
        <f>IFERROR(VLOOKUP(N8,'Leghe Fantacalcio'!B:I,8,FALSE),0)</f>
        <v>23</v>
      </c>
      <c r="P8" s="1" t="str">
        <f t="shared" si="3"/>
        <v>update giocatori set fvm = 23 where id = 1067792;</v>
      </c>
    </row>
    <row r="9" spans="1:16" x14ac:dyDescent="0.25">
      <c r="A9" s="1" t="str">
        <f t="shared" si="0"/>
        <v>HienAtalanta</v>
      </c>
      <c r="B9" s="1" t="str">
        <f t="shared" si="1"/>
        <v>Hien I.Atalanta</v>
      </c>
      <c r="C9" s="1">
        <v>1106221</v>
      </c>
      <c r="D9" s="1" t="s">
        <v>160</v>
      </c>
      <c r="E9" s="1" t="s">
        <v>600</v>
      </c>
      <c r="F9" s="1" t="s">
        <v>12</v>
      </c>
      <c r="G9" s="1" t="s">
        <v>92</v>
      </c>
      <c r="H9" s="1">
        <v>6</v>
      </c>
      <c r="I9" s="1">
        <v>10</v>
      </c>
      <c r="J9" s="1" t="str">
        <f>VLOOKUP(A9,'Leghe Fantacalcio'!A:I,1,FALSE)</f>
        <v>HienAtalanta</v>
      </c>
      <c r="K9" s="1" t="e">
        <f>VLOOKUP(B9,'Leghe Fantacalcio'!A:I,1,FALSE)</f>
        <v>#N/A</v>
      </c>
      <c r="L9" s="1">
        <f>IF(ISNA(VLOOKUP(A9,'Leghe Fantacalcio'!A:I,2,FALSE)),"",VLOOKUP(A9,'Leghe Fantacalcio'!A:I,2,FALSE))</f>
        <v>6046</v>
      </c>
      <c r="M9" s="1" t="str">
        <f>IF(ISNA(VLOOKUP(B9,'Leghe Fantacalcio'!A:I,2,FALSE)),"",VLOOKUP(B9,'Leghe Fantacalcio'!A:I,2,FALSE))</f>
        <v/>
      </c>
      <c r="N9" s="1">
        <f t="shared" si="2"/>
        <v>6046</v>
      </c>
      <c r="O9" s="1">
        <f>IFERROR(VLOOKUP(N9,'Leghe Fantacalcio'!B:I,8,FALSE),0)</f>
        <v>10</v>
      </c>
      <c r="P9" s="1" t="str">
        <f t="shared" si="3"/>
        <v>update giocatori set fvm = 10 where id = 1106221;</v>
      </c>
    </row>
    <row r="10" spans="1:16" x14ac:dyDescent="0.25">
      <c r="A10" s="1" t="str">
        <f t="shared" si="0"/>
        <v>KessièAtalanta</v>
      </c>
      <c r="B10" s="1" t="str">
        <f t="shared" si="1"/>
        <v>Kessiè F.Atalanta</v>
      </c>
      <c r="C10" s="1">
        <v>1050707</v>
      </c>
      <c r="D10" s="4" t="s">
        <v>328</v>
      </c>
      <c r="E10" s="1" t="s">
        <v>589</v>
      </c>
      <c r="F10" s="1" t="s">
        <v>12</v>
      </c>
      <c r="G10" s="1" t="s">
        <v>283</v>
      </c>
      <c r="H10" s="1">
        <v>6</v>
      </c>
      <c r="I10" s="1">
        <v>30</v>
      </c>
      <c r="J10" s="1" t="str">
        <f>VLOOKUP(A10,'Leghe Fantacalcio'!A:I,1,FALSE)</f>
        <v>KessièAtalanta</v>
      </c>
      <c r="K10" s="1" t="e">
        <f>VLOOKUP(B10,'Leghe Fantacalcio'!A:I,1,FALSE)</f>
        <v>#N/A</v>
      </c>
      <c r="L10" s="1">
        <f>IF(ISNA(VLOOKUP(A10,'Leghe Fantacalcio'!A:I,2,FALSE)),"",VLOOKUP(A10,'Leghe Fantacalcio'!A:I,2,FALSE))</f>
        <v>1850</v>
      </c>
      <c r="M10" s="1" t="str">
        <f>IF(ISNA(VLOOKUP(B10,'Leghe Fantacalcio'!A:I,2,FALSE)),"",VLOOKUP(B10,'Leghe Fantacalcio'!A:I,2,FALSE))</f>
        <v/>
      </c>
      <c r="N10" s="1">
        <f t="shared" si="2"/>
        <v>1850</v>
      </c>
      <c r="O10" s="1">
        <f>IFERROR(VLOOKUP(N10,'Leghe Fantacalcio'!B:I,8,FALSE),0)</f>
        <v>33</v>
      </c>
      <c r="P10" s="1" t="str">
        <f t="shared" si="3"/>
        <v>update giocatori set fvm = 33 where id = 1050707;</v>
      </c>
    </row>
    <row r="11" spans="1:16" x14ac:dyDescent="0.25">
      <c r="A11" s="1" t="str">
        <f t="shared" si="0"/>
        <v>KolasinacAtalanta</v>
      </c>
      <c r="B11" s="1" t="str">
        <f t="shared" si="1"/>
        <v>Kolasinac S.Atalanta</v>
      </c>
      <c r="C11" s="1">
        <v>1017350</v>
      </c>
      <c r="D11" s="1" t="s">
        <v>161</v>
      </c>
      <c r="E11" s="1" t="s">
        <v>580</v>
      </c>
      <c r="F11" s="1" t="s">
        <v>12</v>
      </c>
      <c r="G11" s="1" t="s">
        <v>92</v>
      </c>
      <c r="H11" s="1">
        <v>6</v>
      </c>
      <c r="I11" s="1">
        <v>6</v>
      </c>
      <c r="J11" s="1" t="str">
        <f>VLOOKUP(A11,'Leghe Fantacalcio'!A:I,1,FALSE)</f>
        <v>KolasinacAtalanta</v>
      </c>
      <c r="K11" s="1" t="e">
        <f>VLOOKUP(B11,'Leghe Fantacalcio'!A:I,1,FALSE)</f>
        <v>#N/A</v>
      </c>
      <c r="L11" s="1">
        <f>IF(ISNA(VLOOKUP(A11,'Leghe Fantacalcio'!A:I,2,FALSE)),"",VLOOKUP(A11,'Leghe Fantacalcio'!A:I,2,FALSE))</f>
        <v>2640</v>
      </c>
      <c r="M11" s="1" t="str">
        <f>IF(ISNA(VLOOKUP(B11,'Leghe Fantacalcio'!A:I,2,FALSE)),"",VLOOKUP(B11,'Leghe Fantacalcio'!A:I,2,FALSE))</f>
        <v/>
      </c>
      <c r="N11" s="1">
        <f t="shared" si="2"/>
        <v>2640</v>
      </c>
      <c r="O11" s="1">
        <f>IFERROR(VLOOKUP(N11,'Leghe Fantacalcio'!B:I,8,FALSE),0)</f>
        <v>11</v>
      </c>
      <c r="P11" s="1" t="str">
        <f t="shared" si="3"/>
        <v>update giocatori set fvm = 11 where id = 1017350;</v>
      </c>
    </row>
    <row r="12" spans="1:16" x14ac:dyDescent="0.25">
      <c r="A12" s="1" t="str">
        <f t="shared" si="0"/>
        <v>KossounouAtalanta</v>
      </c>
      <c r="B12" s="1" t="str">
        <f t="shared" si="1"/>
        <v>Kossounou O.Atalanta</v>
      </c>
      <c r="C12" s="1">
        <v>1095516</v>
      </c>
      <c r="D12" s="1" t="s">
        <v>223</v>
      </c>
      <c r="E12" s="1" t="s">
        <v>577</v>
      </c>
      <c r="F12" s="1" t="s">
        <v>12</v>
      </c>
      <c r="G12" s="1" t="s">
        <v>92</v>
      </c>
      <c r="H12" s="1">
        <v>6</v>
      </c>
      <c r="I12" s="1">
        <v>9</v>
      </c>
      <c r="J12" s="1" t="str">
        <f>VLOOKUP(A12,'Leghe Fantacalcio'!A:I,1,FALSE)</f>
        <v>KossounouAtalanta</v>
      </c>
      <c r="K12" s="1" t="e">
        <f>VLOOKUP(B12,'Leghe Fantacalcio'!A:I,1,FALSE)</f>
        <v>#N/A</v>
      </c>
      <c r="L12" s="1">
        <f>IF(ISNA(VLOOKUP(A12,'Leghe Fantacalcio'!A:I,2,FALSE)),"",VLOOKUP(A12,'Leghe Fantacalcio'!A:I,2,FALSE))</f>
        <v>5578</v>
      </c>
      <c r="M12" s="1" t="str">
        <f>IF(ISNA(VLOOKUP(B12,'Leghe Fantacalcio'!A:I,2,FALSE)),"",VLOOKUP(B12,'Leghe Fantacalcio'!A:I,2,FALSE))</f>
        <v/>
      </c>
      <c r="N12" s="1">
        <f t="shared" si="2"/>
        <v>5578</v>
      </c>
      <c r="O12" s="1">
        <f>IFERROR(VLOOKUP(N12,'Leghe Fantacalcio'!B:I,8,FALSE),0)</f>
        <v>12</v>
      </c>
      <c r="P12" s="1" t="str">
        <f t="shared" si="3"/>
        <v>update giocatori set fvm = 12 where id = 1095516;</v>
      </c>
    </row>
    <row r="13" spans="1:16" x14ac:dyDescent="0.25">
      <c r="A13" s="1" t="str">
        <f t="shared" si="0"/>
        <v>KristensenAtalanta</v>
      </c>
      <c r="B13" s="1" t="str">
        <f t="shared" si="1"/>
        <v>Kristensen T.Atalanta</v>
      </c>
      <c r="C13" s="1">
        <v>1102383</v>
      </c>
      <c r="D13" s="1" t="s">
        <v>622</v>
      </c>
      <c r="E13" s="1" t="s">
        <v>599</v>
      </c>
      <c r="F13" s="1" t="s">
        <v>12</v>
      </c>
      <c r="G13" s="1" t="s">
        <v>92</v>
      </c>
      <c r="H13" s="1">
        <v>6</v>
      </c>
      <c r="I13" s="1">
        <v>8</v>
      </c>
      <c r="J13" s="1" t="e">
        <f>VLOOKUP(A13,'Leghe Fantacalcio'!A:I,1,FALSE)</f>
        <v>#N/A</v>
      </c>
      <c r="K13" s="1" t="str">
        <f>VLOOKUP(B13,'Leghe Fantacalcio'!A:I,1,FALSE)</f>
        <v>Kristensen T.Atalanta</v>
      </c>
      <c r="L13" s="1" t="str">
        <f>IF(ISNA(VLOOKUP(A13,'Leghe Fantacalcio'!A:I,2,FALSE)),"",VLOOKUP(A13,'Leghe Fantacalcio'!A:I,2,FALSE))</f>
        <v/>
      </c>
      <c r="M13" s="1">
        <f>IF(ISNA(VLOOKUP(B13,'Leghe Fantacalcio'!A:I,2,FALSE)),"",VLOOKUP(B13,'Leghe Fantacalcio'!A:I,2,FALSE))</f>
        <v>6485</v>
      </c>
      <c r="N13" s="1">
        <f t="shared" si="2"/>
        <v>6485</v>
      </c>
      <c r="O13" s="1">
        <f>IFERROR(VLOOKUP(N13,'Leghe Fantacalcio'!B:I,8,FALSE),0)</f>
        <v>14</v>
      </c>
      <c r="P13" s="1" t="str">
        <f t="shared" si="3"/>
        <v>update giocatori set fvm = 14 where id = 1102383;</v>
      </c>
    </row>
    <row r="14" spans="1:16" x14ac:dyDescent="0.25">
      <c r="A14" s="1" t="str">
        <f t="shared" si="0"/>
        <v>KrstovicAtalanta</v>
      </c>
      <c r="B14" s="1" t="str">
        <f t="shared" si="1"/>
        <v>Krstovic N.Atalanta</v>
      </c>
      <c r="C14" s="1">
        <v>1095769</v>
      </c>
      <c r="D14" s="1" t="s">
        <v>494</v>
      </c>
      <c r="E14" s="1" t="s">
        <v>578</v>
      </c>
      <c r="F14" s="1" t="s">
        <v>12</v>
      </c>
      <c r="G14" s="1" t="s">
        <v>478</v>
      </c>
      <c r="H14" s="1">
        <v>6</v>
      </c>
      <c r="I14" s="1">
        <v>41</v>
      </c>
      <c r="J14" s="1" t="str">
        <f>VLOOKUP(A14,'Leghe Fantacalcio'!A:I,1,FALSE)</f>
        <v>KrstovicAtalanta</v>
      </c>
      <c r="K14" s="1" t="e">
        <f>VLOOKUP(B14,'Leghe Fantacalcio'!A:I,1,FALSE)</f>
        <v>#N/A</v>
      </c>
      <c r="L14" s="1">
        <f>IF(ISNA(VLOOKUP(A14,'Leghe Fantacalcio'!A:I,2,FALSE)),"",VLOOKUP(A14,'Leghe Fantacalcio'!A:I,2,FALSE))</f>
        <v>6435</v>
      </c>
      <c r="M14" s="1" t="str">
        <f>IF(ISNA(VLOOKUP(B14,'Leghe Fantacalcio'!A:I,2,FALSE)),"",VLOOKUP(B14,'Leghe Fantacalcio'!A:I,2,FALSE))</f>
        <v/>
      </c>
      <c r="N14" s="1">
        <f t="shared" si="2"/>
        <v>6435</v>
      </c>
      <c r="O14" s="1">
        <f>IFERROR(VLOOKUP(N14,'Leghe Fantacalcio'!B:I,8,FALSE),0)</f>
        <v>80</v>
      </c>
      <c r="P14" s="1" t="str">
        <f t="shared" si="3"/>
        <v>update giocatori set fvm = 80 where id = 1095769;</v>
      </c>
    </row>
    <row r="15" spans="1:16" x14ac:dyDescent="0.25">
      <c r="A15" s="1" t="str">
        <f t="shared" si="0"/>
        <v>ManzoniAtalanta</v>
      </c>
      <c r="B15" s="1" t="str">
        <f t="shared" si="1"/>
        <v>Manzoni A.Atalanta</v>
      </c>
      <c r="C15" s="1">
        <v>1118814</v>
      </c>
      <c r="D15" s="1" t="s">
        <v>654</v>
      </c>
      <c r="E15" s="1" t="s">
        <v>584</v>
      </c>
      <c r="F15" s="1" t="s">
        <v>12</v>
      </c>
      <c r="G15" s="1" t="s">
        <v>283</v>
      </c>
      <c r="H15" s="1">
        <v>6</v>
      </c>
      <c r="I15" s="1">
        <v>1</v>
      </c>
      <c r="J15" s="1" t="e">
        <f>VLOOKUP(A15,'Leghe Fantacalcio'!A:I,1,FALSE)</f>
        <v>#N/A</v>
      </c>
      <c r="K15" s="1" t="e">
        <f>VLOOKUP(B15,'Leghe Fantacalcio'!A:I,1,FALSE)</f>
        <v>#N/A</v>
      </c>
      <c r="L15" s="1" t="str">
        <f>IF(ISNA(VLOOKUP(A15,'Leghe Fantacalcio'!A:I,2,FALSE)),"",VLOOKUP(A15,'Leghe Fantacalcio'!A:I,2,FALSE))</f>
        <v/>
      </c>
      <c r="M15" s="1" t="str">
        <f>IF(ISNA(VLOOKUP(B15,'Leghe Fantacalcio'!A:I,2,FALSE)),"",VLOOKUP(B15,'Leghe Fantacalcio'!A:I,2,FALSE))</f>
        <v/>
      </c>
      <c r="N15" s="1" t="str">
        <f t="shared" si="2"/>
        <v/>
      </c>
      <c r="O15" s="1">
        <f>IFERROR(VLOOKUP(N15,'Leghe Fantacalcio'!B:I,8,FALSE),0)</f>
        <v>0</v>
      </c>
      <c r="P15" s="1" t="str">
        <f t="shared" si="3"/>
        <v>update giocatori set fvm = 0 where id = 1118814;</v>
      </c>
    </row>
    <row r="16" spans="1:16" x14ac:dyDescent="0.25">
      <c r="A16" s="1" t="str">
        <f t="shared" si="0"/>
        <v>ObricAtalanta</v>
      </c>
      <c r="B16" s="1" t="str">
        <f t="shared" si="1"/>
        <v>Obric R.Atalanta</v>
      </c>
      <c r="C16" s="1">
        <v>1119840</v>
      </c>
      <c r="D16" s="1" t="s">
        <v>629</v>
      </c>
      <c r="E16" s="1" t="s">
        <v>581</v>
      </c>
      <c r="F16" s="1" t="s">
        <v>12</v>
      </c>
      <c r="G16" s="1" t="s">
        <v>92</v>
      </c>
      <c r="H16" s="1">
        <v>6</v>
      </c>
      <c r="I16" s="1">
        <v>1</v>
      </c>
      <c r="J16" s="1" t="e">
        <f>VLOOKUP(A16,'Leghe Fantacalcio'!A:I,1,FALSE)</f>
        <v>#N/A</v>
      </c>
      <c r="K16" s="1" t="e">
        <f>VLOOKUP(B16,'Leghe Fantacalcio'!A:I,1,FALSE)</f>
        <v>#N/A</v>
      </c>
      <c r="L16" s="1" t="str">
        <f>IF(ISNA(VLOOKUP(A16,'Leghe Fantacalcio'!A:I,2,FALSE)),"",VLOOKUP(A16,'Leghe Fantacalcio'!A:I,2,FALSE))</f>
        <v/>
      </c>
      <c r="M16" s="1" t="str">
        <f>IF(ISNA(VLOOKUP(B16,'Leghe Fantacalcio'!A:I,2,FALSE)),"",VLOOKUP(B16,'Leghe Fantacalcio'!A:I,2,FALSE))</f>
        <v/>
      </c>
      <c r="N16" s="1" t="str">
        <f t="shared" si="2"/>
        <v/>
      </c>
      <c r="O16" s="1">
        <f>IFERROR(VLOOKUP(N16,'Leghe Fantacalcio'!B:I,8,FALSE),0)</f>
        <v>0</v>
      </c>
      <c r="P16" s="1" t="str">
        <f t="shared" si="3"/>
        <v>update giocatori set fvm = 0 where id = 1119840;</v>
      </c>
    </row>
    <row r="17" spans="1:16" x14ac:dyDescent="0.25">
      <c r="A17" s="1" t="str">
        <f t="shared" si="0"/>
        <v>PasalicAtalanta</v>
      </c>
      <c r="B17" s="1" t="str">
        <f t="shared" si="1"/>
        <v>Pasalic M.Atalanta</v>
      </c>
      <c r="C17" s="1">
        <v>1040264</v>
      </c>
      <c r="D17" s="1" t="s">
        <v>362</v>
      </c>
      <c r="E17" s="1" t="s">
        <v>572</v>
      </c>
      <c r="F17" s="1" t="s">
        <v>12</v>
      </c>
      <c r="G17" s="1" t="s">
        <v>283</v>
      </c>
      <c r="H17" s="1">
        <v>6</v>
      </c>
      <c r="I17" s="1">
        <v>21</v>
      </c>
      <c r="J17" s="1" t="str">
        <f>VLOOKUP(A17,'Leghe Fantacalcio'!A:I,1,FALSE)</f>
        <v>PasalicAtalanta</v>
      </c>
      <c r="K17" s="1" t="e">
        <f>VLOOKUP(B17,'Leghe Fantacalcio'!A:I,1,FALSE)</f>
        <v>#N/A</v>
      </c>
      <c r="L17" s="1">
        <f>IF(ISNA(VLOOKUP(A17,'Leghe Fantacalcio'!A:I,2,FALSE)),"",VLOOKUP(A17,'Leghe Fantacalcio'!A:I,2,FALSE))</f>
        <v>2077</v>
      </c>
      <c r="M17" s="1" t="str">
        <f>IF(ISNA(VLOOKUP(B17,'Leghe Fantacalcio'!A:I,2,FALSE)),"",VLOOKUP(B17,'Leghe Fantacalcio'!A:I,2,FALSE))</f>
        <v/>
      </c>
      <c r="N17" s="1">
        <f t="shared" si="2"/>
        <v>2077</v>
      </c>
      <c r="O17" s="1">
        <f>IFERROR(VLOOKUP(N17,'Leghe Fantacalcio'!B:I,8,FALSE),0)</f>
        <v>18</v>
      </c>
      <c r="P17" s="1" t="str">
        <f t="shared" si="3"/>
        <v>update giocatori set fvm = 18 where id = 1040264;</v>
      </c>
    </row>
    <row r="18" spans="1:16" x14ac:dyDescent="0.25">
      <c r="A18" s="1" t="str">
        <f t="shared" si="0"/>
        <v>PompeiAtalanta</v>
      </c>
      <c r="B18" s="1" t="str">
        <f t="shared" si="1"/>
        <v>Pompei T.Atalanta</v>
      </c>
      <c r="C18" s="1">
        <v>1120636</v>
      </c>
      <c r="D18" s="1" t="s">
        <v>91</v>
      </c>
      <c r="E18" s="1" t="s">
        <v>599</v>
      </c>
      <c r="F18" s="1" t="s">
        <v>12</v>
      </c>
      <c r="G18" s="1" t="s">
        <v>8</v>
      </c>
      <c r="H18" s="1">
        <v>6</v>
      </c>
      <c r="I18" s="1">
        <v>1</v>
      </c>
      <c r="J18" s="1" t="str">
        <f>VLOOKUP(A18,'Leghe Fantacalcio'!A:I,1,FALSE)</f>
        <v>PompeiAtalanta</v>
      </c>
      <c r="K18" s="1" t="e">
        <f>VLOOKUP(B18,'Leghe Fantacalcio'!A:I,1,FALSE)</f>
        <v>#N/A</v>
      </c>
      <c r="L18" s="1">
        <f>IF(ISNA(VLOOKUP(A18,'Leghe Fantacalcio'!A:I,2,FALSE)),"",VLOOKUP(A18,'Leghe Fantacalcio'!A:I,2,FALSE))</f>
        <v>7626</v>
      </c>
      <c r="M18" s="1" t="str">
        <f>IF(ISNA(VLOOKUP(B18,'Leghe Fantacalcio'!A:I,2,FALSE)),"",VLOOKUP(B18,'Leghe Fantacalcio'!A:I,2,FALSE))</f>
        <v/>
      </c>
      <c r="N18" s="1">
        <f t="shared" si="2"/>
        <v>7626</v>
      </c>
      <c r="O18" s="1">
        <f>IFERROR(VLOOKUP(N18,'Leghe Fantacalcio'!B:I,8,FALSE),0)</f>
        <v>1</v>
      </c>
      <c r="P18" s="1" t="str">
        <f t="shared" si="3"/>
        <v>update giocatori set fvm = 1 where id = 1120636;</v>
      </c>
    </row>
    <row r="19" spans="1:16" x14ac:dyDescent="0.25">
      <c r="A19" s="1" t="str">
        <f t="shared" si="0"/>
        <v>RaspadoriAtalanta</v>
      </c>
      <c r="B19" s="1" t="str">
        <f t="shared" si="1"/>
        <v>Raspadori G.Atalanta</v>
      </c>
      <c r="C19" s="1">
        <v>1066162</v>
      </c>
      <c r="D19" s="1" t="s">
        <v>500</v>
      </c>
      <c r="E19" s="1" t="s">
        <v>575</v>
      </c>
      <c r="F19" s="1" t="s">
        <v>12</v>
      </c>
      <c r="G19" s="1" t="s">
        <v>478</v>
      </c>
      <c r="H19" s="1">
        <v>6</v>
      </c>
      <c r="I19" s="1">
        <v>37</v>
      </c>
      <c r="J19" s="1" t="str">
        <f>VLOOKUP(A19,'Leghe Fantacalcio'!A:I,1,FALSE)</f>
        <v>RaspadoriAtalanta</v>
      </c>
      <c r="K19" s="1" t="e">
        <f>VLOOKUP(B19,'Leghe Fantacalcio'!A:I,1,FALSE)</f>
        <v>#N/A</v>
      </c>
      <c r="L19" s="1">
        <f>IF(ISNA(VLOOKUP(A19,'Leghe Fantacalcio'!A:I,2,FALSE)),"",VLOOKUP(A19,'Leghe Fantacalcio'!A:I,2,FALSE))</f>
        <v>4371</v>
      </c>
      <c r="M19" s="1" t="str">
        <f>IF(ISNA(VLOOKUP(B19,'Leghe Fantacalcio'!A:I,2,FALSE)),"",VLOOKUP(B19,'Leghe Fantacalcio'!A:I,2,FALSE))</f>
        <v/>
      </c>
      <c r="N19" s="1">
        <f t="shared" si="2"/>
        <v>4371</v>
      </c>
      <c r="O19" s="1">
        <f>IFERROR(VLOOKUP(N19,'Leghe Fantacalcio'!B:I,8,FALSE),0)</f>
        <v>30</v>
      </c>
      <c r="P19" s="1" t="str">
        <f t="shared" si="3"/>
        <v>update giocatori set fvm = 30 where id = 1066162;</v>
      </c>
    </row>
    <row r="20" spans="1:16" x14ac:dyDescent="0.25">
      <c r="A20" s="1" t="str">
        <f t="shared" si="0"/>
        <v>RossiAtalanta</v>
      </c>
      <c r="B20" s="1" t="str">
        <f t="shared" si="1"/>
        <v>Rossi F.Atalanta</v>
      </c>
      <c r="C20" s="1">
        <v>1061828</v>
      </c>
      <c r="D20" s="1" t="s">
        <v>603</v>
      </c>
      <c r="E20" s="1" t="s">
        <v>589</v>
      </c>
      <c r="F20" s="1" t="s">
        <v>12</v>
      </c>
      <c r="G20" s="1" t="s">
        <v>8</v>
      </c>
      <c r="H20" s="1">
        <v>6</v>
      </c>
      <c r="I20" s="1">
        <v>1</v>
      </c>
      <c r="J20" s="1" t="e">
        <f>VLOOKUP(A20,'Leghe Fantacalcio'!A:I,1,FALSE)</f>
        <v>#N/A</v>
      </c>
      <c r="K20" s="1" t="e">
        <f>VLOOKUP(B20,'Leghe Fantacalcio'!A:I,1,FALSE)</f>
        <v>#N/A</v>
      </c>
      <c r="L20" s="1" t="str">
        <f>IF(ISNA(VLOOKUP(A20,'Leghe Fantacalcio'!A:I,2,FALSE)),"",VLOOKUP(A20,'Leghe Fantacalcio'!A:I,2,FALSE))</f>
        <v/>
      </c>
      <c r="M20" s="1" t="str">
        <f>IF(ISNA(VLOOKUP(B20,'Leghe Fantacalcio'!A:I,2,FALSE)),"",VLOOKUP(B20,'Leghe Fantacalcio'!A:I,2,FALSE))</f>
        <v/>
      </c>
      <c r="N20" s="1" t="str">
        <f t="shared" si="2"/>
        <v/>
      </c>
      <c r="O20" s="1">
        <f>IFERROR(VLOOKUP(N20,'Leghe Fantacalcio'!B:I,8,FALSE),0)</f>
        <v>0</v>
      </c>
      <c r="P20" s="1" t="str">
        <f t="shared" si="3"/>
        <v>update giocatori set fvm = 0 where id = 1061828;</v>
      </c>
    </row>
    <row r="21" spans="1:16" x14ac:dyDescent="0.25">
      <c r="A21" s="1" t="str">
        <f t="shared" si="0"/>
        <v>RoweAtalanta</v>
      </c>
      <c r="B21" s="1" t="str">
        <f t="shared" si="1"/>
        <v>Rowe J.Atalanta</v>
      </c>
      <c r="C21" s="1">
        <v>1111827</v>
      </c>
      <c r="D21" s="1" t="s">
        <v>335</v>
      </c>
      <c r="E21" s="1" t="s">
        <v>571</v>
      </c>
      <c r="F21" s="1" t="s">
        <v>12</v>
      </c>
      <c r="G21" s="1" t="s">
        <v>478</v>
      </c>
      <c r="H21" s="1">
        <v>6</v>
      </c>
      <c r="I21" s="1">
        <v>30</v>
      </c>
      <c r="J21" s="1" t="str">
        <f>VLOOKUP(A21,'Leghe Fantacalcio'!A:I,1,FALSE)</f>
        <v>RoweAtalanta</v>
      </c>
      <c r="K21" s="1" t="e">
        <f>VLOOKUP(B21,'Leghe Fantacalcio'!A:I,1,FALSE)</f>
        <v>#N/A</v>
      </c>
      <c r="L21" s="1">
        <f>IF(ISNA(VLOOKUP(A21,'Leghe Fantacalcio'!A:I,2,FALSE)),"",VLOOKUP(A21,'Leghe Fantacalcio'!A:I,2,FALSE))</f>
        <v>6844</v>
      </c>
      <c r="M21" s="1" t="str">
        <f>IF(ISNA(VLOOKUP(B21,'Leghe Fantacalcio'!A:I,2,FALSE)),"",VLOOKUP(B21,'Leghe Fantacalcio'!A:I,2,FALSE))</f>
        <v/>
      </c>
      <c r="N21" s="1">
        <f t="shared" si="2"/>
        <v>6844</v>
      </c>
      <c r="O21" s="1">
        <f>IFERROR(VLOOKUP(N21,'Leghe Fantacalcio'!B:I,8,FALSE),0)</f>
        <v>35</v>
      </c>
      <c r="P21" s="1" t="str">
        <f t="shared" si="3"/>
        <v>update giocatori set fvm = 35 where id = 1111827;</v>
      </c>
    </row>
    <row r="22" spans="1:16" x14ac:dyDescent="0.25">
      <c r="A22" s="1" t="str">
        <f t="shared" si="0"/>
        <v>SamardzicAtalanta</v>
      </c>
      <c r="B22" s="1" t="str">
        <f t="shared" si="1"/>
        <v>Samardzic L.Atalanta</v>
      </c>
      <c r="C22" s="1">
        <v>1095081</v>
      </c>
      <c r="D22" s="1" t="s">
        <v>299</v>
      </c>
      <c r="E22" s="1" t="s">
        <v>590</v>
      </c>
      <c r="F22" s="1" t="s">
        <v>12</v>
      </c>
      <c r="G22" s="1" t="s">
        <v>283</v>
      </c>
      <c r="H22" s="1">
        <v>6</v>
      </c>
      <c r="I22" s="1">
        <v>25</v>
      </c>
      <c r="J22" s="1" t="str">
        <f>VLOOKUP(A22,'Leghe Fantacalcio'!A:I,1,FALSE)</f>
        <v>SamardzicAtalanta</v>
      </c>
      <c r="K22" s="1" t="e">
        <f>VLOOKUP(B22,'Leghe Fantacalcio'!A:I,1,FALSE)</f>
        <v>#N/A</v>
      </c>
      <c r="L22" s="1">
        <f>IF(ISNA(VLOOKUP(A22,'Leghe Fantacalcio'!A:I,2,FALSE)),"",VLOOKUP(A22,'Leghe Fantacalcio'!A:I,2,FALSE))</f>
        <v>5119</v>
      </c>
      <c r="M22" s="1" t="str">
        <f>IF(ISNA(VLOOKUP(B22,'Leghe Fantacalcio'!A:I,2,FALSE)),"",VLOOKUP(B22,'Leghe Fantacalcio'!A:I,2,FALSE))</f>
        <v/>
      </c>
      <c r="N22" s="1">
        <f t="shared" si="2"/>
        <v>5119</v>
      </c>
      <c r="O22" s="1">
        <f>IFERROR(VLOOKUP(N22,'Leghe Fantacalcio'!B:I,8,FALSE),0)</f>
        <v>36</v>
      </c>
      <c r="P22" s="1" t="str">
        <f t="shared" si="3"/>
        <v>update giocatori set fvm = 36 where id = 1095081;</v>
      </c>
    </row>
    <row r="23" spans="1:16" x14ac:dyDescent="0.25">
      <c r="A23" s="1" t="str">
        <f t="shared" si="0"/>
        <v>ScalviniAtalanta</v>
      </c>
      <c r="B23" s="1" t="str">
        <f t="shared" si="1"/>
        <v>Scalvini G.Atalanta</v>
      </c>
      <c r="C23" s="1">
        <v>1102886</v>
      </c>
      <c r="D23" s="1" t="s">
        <v>111</v>
      </c>
      <c r="E23" s="1" t="s">
        <v>575</v>
      </c>
      <c r="F23" s="1" t="s">
        <v>12</v>
      </c>
      <c r="G23" s="1" t="s">
        <v>92</v>
      </c>
      <c r="H23" s="1">
        <v>6</v>
      </c>
      <c r="I23" s="1">
        <v>14</v>
      </c>
      <c r="J23" s="1" t="str">
        <f>VLOOKUP(A23,'Leghe Fantacalcio'!A:I,1,FALSE)</f>
        <v>ScalviniAtalanta</v>
      </c>
      <c r="K23" s="1" t="e">
        <f>VLOOKUP(B23,'Leghe Fantacalcio'!A:I,1,FALSE)</f>
        <v>#N/A</v>
      </c>
      <c r="L23" s="1">
        <f>IF(ISNA(VLOOKUP(A23,'Leghe Fantacalcio'!A:I,2,FALSE)),"",VLOOKUP(A23,'Leghe Fantacalcio'!A:I,2,FALSE))</f>
        <v>5526</v>
      </c>
      <c r="M23" s="1" t="str">
        <f>IF(ISNA(VLOOKUP(B23,'Leghe Fantacalcio'!A:I,2,FALSE)),"",VLOOKUP(B23,'Leghe Fantacalcio'!A:I,2,FALSE))</f>
        <v/>
      </c>
      <c r="N23" s="1">
        <f t="shared" si="2"/>
        <v>5526</v>
      </c>
      <c r="O23" s="1">
        <f>IFERROR(VLOOKUP(N23,'Leghe Fantacalcio'!B:I,8,FALSE),0)</f>
        <v>23</v>
      </c>
      <c r="P23" s="1" t="str">
        <f t="shared" si="3"/>
        <v>update giocatori set fvm = 23 where id = 1102886;</v>
      </c>
    </row>
    <row r="24" spans="1:16" x14ac:dyDescent="0.25">
      <c r="A24" s="1" t="str">
        <f t="shared" si="0"/>
        <v>ScamaccaAtalanta</v>
      </c>
      <c r="B24" s="1" t="str">
        <f t="shared" si="1"/>
        <v>Scamacca G.Atalanta</v>
      </c>
      <c r="C24" s="1">
        <v>1061870</v>
      </c>
      <c r="D24" s="1" t="s">
        <v>489</v>
      </c>
      <c r="E24" s="1" t="s">
        <v>575</v>
      </c>
      <c r="F24" s="1" t="s">
        <v>12</v>
      </c>
      <c r="G24" s="1" t="s">
        <v>478</v>
      </c>
      <c r="H24" s="1">
        <v>6</v>
      </c>
      <c r="I24" s="1">
        <v>44</v>
      </c>
      <c r="J24" s="1" t="str">
        <f>VLOOKUP(A24,'Leghe Fantacalcio'!A:I,1,FALSE)</f>
        <v>ScamaccaAtalanta</v>
      </c>
      <c r="K24" s="1" t="e">
        <f>VLOOKUP(B24,'Leghe Fantacalcio'!A:I,1,FALSE)</f>
        <v>#N/A</v>
      </c>
      <c r="L24" s="1">
        <f>IF(ISNA(VLOOKUP(A24,'Leghe Fantacalcio'!A:I,2,FALSE)),"",VLOOKUP(A24,'Leghe Fantacalcio'!A:I,2,FALSE))</f>
        <v>2137</v>
      </c>
      <c r="M24" s="1" t="str">
        <f>IF(ISNA(VLOOKUP(B24,'Leghe Fantacalcio'!A:I,2,FALSE)),"",VLOOKUP(B24,'Leghe Fantacalcio'!A:I,2,FALSE))</f>
        <v/>
      </c>
      <c r="N24" s="1">
        <f t="shared" si="2"/>
        <v>2137</v>
      </c>
      <c r="O24" s="1">
        <f>IFERROR(VLOOKUP(N24,'Leghe Fantacalcio'!B:I,8,FALSE),0)</f>
        <v>100</v>
      </c>
      <c r="P24" s="1" t="str">
        <f t="shared" si="3"/>
        <v>update giocatori set fvm = 100 where id = 1061870;</v>
      </c>
    </row>
    <row r="25" spans="1:16" x14ac:dyDescent="0.25">
      <c r="A25" s="1" t="str">
        <f t="shared" si="0"/>
        <v>SportielloAtalanta</v>
      </c>
      <c r="B25" s="1" t="str">
        <f t="shared" si="1"/>
        <v>Sportiello M.Atalanta</v>
      </c>
      <c r="C25" s="1">
        <v>1040905</v>
      </c>
      <c r="D25" s="1" t="s">
        <v>53</v>
      </c>
      <c r="E25" s="1" t="s">
        <v>572</v>
      </c>
      <c r="F25" s="1" t="s">
        <v>12</v>
      </c>
      <c r="G25" s="1" t="s">
        <v>8</v>
      </c>
      <c r="H25" s="1">
        <v>6</v>
      </c>
      <c r="I25" s="1">
        <v>1</v>
      </c>
      <c r="J25" s="1" t="str">
        <f>VLOOKUP(A25,'Leghe Fantacalcio'!A:I,1,FALSE)</f>
        <v>SportielloAtalanta</v>
      </c>
      <c r="K25" s="1" t="e">
        <f>VLOOKUP(B25,'Leghe Fantacalcio'!A:I,1,FALSE)</f>
        <v>#N/A</v>
      </c>
      <c r="L25" s="1">
        <f>IF(ISNA(VLOOKUP(A25,'Leghe Fantacalcio'!A:I,2,FALSE)),"",VLOOKUP(A25,'Leghe Fantacalcio'!A:I,2,FALSE))</f>
        <v>4</v>
      </c>
      <c r="M25" s="1" t="str">
        <f>IF(ISNA(VLOOKUP(B25,'Leghe Fantacalcio'!A:I,2,FALSE)),"",VLOOKUP(B25,'Leghe Fantacalcio'!A:I,2,FALSE))</f>
        <v/>
      </c>
      <c r="N25" s="1">
        <f t="shared" si="2"/>
        <v>4</v>
      </c>
      <c r="O25" s="1">
        <f>IFERROR(VLOOKUP(N25,'Leghe Fantacalcio'!B:I,8,FALSE),0)</f>
        <v>1</v>
      </c>
      <c r="P25" s="1" t="str">
        <f t="shared" si="3"/>
        <v>update giocatori set fvm = 1 where id = 1040905;</v>
      </c>
    </row>
    <row r="26" spans="1:16" x14ac:dyDescent="0.25">
      <c r="A26" s="1" t="str">
        <f t="shared" si="0"/>
        <v>SulemanaAtalanta</v>
      </c>
      <c r="B26" s="1" t="str">
        <f t="shared" si="1"/>
        <v>Sulemana K.Atalanta</v>
      </c>
      <c r="C26" s="1">
        <v>1110206</v>
      </c>
      <c r="D26" s="1" t="s">
        <v>663</v>
      </c>
      <c r="E26" s="1" t="s">
        <v>586</v>
      </c>
      <c r="F26" s="1" t="s">
        <v>12</v>
      </c>
      <c r="G26" s="1" t="s">
        <v>478</v>
      </c>
      <c r="H26" s="1">
        <v>6</v>
      </c>
      <c r="I26" s="1">
        <v>14</v>
      </c>
      <c r="J26" s="1" t="e">
        <f>VLOOKUP(A26,'Leghe Fantacalcio'!A:I,1,FALSE)</f>
        <v>#N/A</v>
      </c>
      <c r="K26" s="1" t="str">
        <f>VLOOKUP(B26,'Leghe Fantacalcio'!A:I,1,FALSE)</f>
        <v>Sulemana K.Atalanta</v>
      </c>
      <c r="L26" s="1" t="str">
        <f>IF(ISNA(VLOOKUP(A26,'Leghe Fantacalcio'!A:I,2,FALSE)),"",VLOOKUP(A26,'Leghe Fantacalcio'!A:I,2,FALSE))</f>
        <v/>
      </c>
      <c r="M26" s="1">
        <f>IF(ISNA(VLOOKUP(B26,'Leghe Fantacalcio'!A:I,2,FALSE)),"",VLOOKUP(B26,'Leghe Fantacalcio'!A:I,2,FALSE))</f>
        <v>5918</v>
      </c>
      <c r="N26" s="1">
        <f t="shared" si="2"/>
        <v>5918</v>
      </c>
      <c r="O26" s="1">
        <f>IFERROR(VLOOKUP(N26,'Leghe Fantacalcio'!B:I,8,FALSE),0)</f>
        <v>4</v>
      </c>
      <c r="P26" s="1" t="str">
        <f t="shared" si="3"/>
        <v>update giocatori set fvm = 4 where id = 1110206;</v>
      </c>
    </row>
    <row r="27" spans="1:16" x14ac:dyDescent="0.25">
      <c r="A27" s="1" t="str">
        <f t="shared" si="0"/>
        <v>ZalewskiAtalanta</v>
      </c>
      <c r="B27" s="1" t="str">
        <f t="shared" si="1"/>
        <v>Zalewski N.Atalanta</v>
      </c>
      <c r="C27" s="1">
        <v>1102680</v>
      </c>
      <c r="D27" s="1" t="s">
        <v>379</v>
      </c>
      <c r="E27" s="1" t="s">
        <v>578</v>
      </c>
      <c r="F27" s="1" t="s">
        <v>12</v>
      </c>
      <c r="G27" s="1" t="s">
        <v>283</v>
      </c>
      <c r="H27" s="1">
        <v>6</v>
      </c>
      <c r="I27" s="1">
        <v>19</v>
      </c>
      <c r="J27" s="1" t="str">
        <f>VLOOKUP(A27,'Leghe Fantacalcio'!A:I,1,FALSE)</f>
        <v>ZalewskiAtalanta</v>
      </c>
      <c r="K27" s="1" t="e">
        <f>VLOOKUP(B27,'Leghe Fantacalcio'!A:I,1,FALSE)</f>
        <v>#N/A</v>
      </c>
      <c r="L27" s="1">
        <f>IF(ISNA(VLOOKUP(A27,'Leghe Fantacalcio'!A:I,2,FALSE)),"",VLOOKUP(A27,'Leghe Fantacalcio'!A:I,2,FALSE))</f>
        <v>5422</v>
      </c>
      <c r="M27" s="1" t="str">
        <f>IF(ISNA(VLOOKUP(B27,'Leghe Fantacalcio'!A:I,2,FALSE)),"",VLOOKUP(B27,'Leghe Fantacalcio'!A:I,2,FALSE))</f>
        <v/>
      </c>
      <c r="N27" s="1">
        <f t="shared" si="2"/>
        <v>5422</v>
      </c>
      <c r="O27" s="1">
        <f>IFERROR(VLOOKUP(N27,'Leghe Fantacalcio'!B:I,8,FALSE),0)</f>
        <v>11</v>
      </c>
      <c r="P27" s="1" t="str">
        <f t="shared" si="3"/>
        <v>update giocatori set fvm = 11 where id = 1102680;</v>
      </c>
    </row>
    <row r="28" spans="1:16" x14ac:dyDescent="0.25">
      <c r="A28" s="1" t="str">
        <f t="shared" si="0"/>
        <v>ZappacostaAtalanta</v>
      </c>
      <c r="B28" s="1" t="str">
        <f t="shared" si="1"/>
        <v>Zappacosta D.Atalanta</v>
      </c>
      <c r="C28" s="1">
        <v>1043014</v>
      </c>
      <c r="D28" s="1" t="s">
        <v>148</v>
      </c>
      <c r="E28" s="1" t="s">
        <v>593</v>
      </c>
      <c r="F28" s="1" t="s">
        <v>12</v>
      </c>
      <c r="G28" s="1" t="s">
        <v>92</v>
      </c>
      <c r="H28" s="1">
        <v>6</v>
      </c>
      <c r="I28" s="1">
        <v>16</v>
      </c>
      <c r="J28" s="1" t="str">
        <f>VLOOKUP(A28,'Leghe Fantacalcio'!A:I,1,FALSE)</f>
        <v>ZappacostaAtalanta</v>
      </c>
      <c r="K28" s="1" t="e">
        <f>VLOOKUP(B28,'Leghe Fantacalcio'!A:I,1,FALSE)</f>
        <v>#N/A</v>
      </c>
      <c r="L28" s="1">
        <f>IF(ISNA(VLOOKUP(A28,'Leghe Fantacalcio'!A:I,2,FALSE)),"",VLOOKUP(A28,'Leghe Fantacalcio'!A:I,2,FALSE))</f>
        <v>554</v>
      </c>
      <c r="M28" s="1" t="str">
        <f>IF(ISNA(VLOOKUP(B28,'Leghe Fantacalcio'!A:I,2,FALSE)),"",VLOOKUP(B28,'Leghe Fantacalcio'!A:I,2,FALSE))</f>
        <v/>
      </c>
      <c r="N28" s="1">
        <f t="shared" si="2"/>
        <v>554</v>
      </c>
      <c r="O28" s="1">
        <f>IFERROR(VLOOKUP(N28,'Leghe Fantacalcio'!B:I,8,FALSE),0)</f>
        <v>14</v>
      </c>
      <c r="P28" s="1" t="str">
        <f t="shared" si="3"/>
        <v>update giocatori set fvm = 14 where id = 1043014;</v>
      </c>
    </row>
    <row r="29" spans="1:16" x14ac:dyDescent="0.25">
      <c r="A29" s="1" t="str">
        <f t="shared" si="0"/>
        <v>AlhassaneBologna</v>
      </c>
      <c r="B29" s="1" t="str">
        <f t="shared" si="1"/>
        <v>Alhassane R.Bologna</v>
      </c>
      <c r="C29" s="1">
        <v>1120604</v>
      </c>
      <c r="D29" s="1" t="s">
        <v>239</v>
      </c>
      <c r="E29" s="1" t="s">
        <v>581</v>
      </c>
      <c r="F29" s="1" t="s">
        <v>28</v>
      </c>
      <c r="G29" s="1" t="s">
        <v>92</v>
      </c>
      <c r="H29" s="1">
        <v>6</v>
      </c>
      <c r="I29" s="1">
        <v>9</v>
      </c>
      <c r="J29" s="1" t="str">
        <f>VLOOKUP(A29,'Leghe Fantacalcio'!A:I,1,FALSE)</f>
        <v>AlhassaneBologna</v>
      </c>
      <c r="K29" s="1" t="e">
        <f>VLOOKUP(B29,'Leghe Fantacalcio'!A:I,1,FALSE)</f>
        <v>#N/A</v>
      </c>
      <c r="L29" s="1">
        <f>IF(ISNA(VLOOKUP(A29,'Leghe Fantacalcio'!A:I,2,FALSE)),"",VLOOKUP(A29,'Leghe Fantacalcio'!A:I,2,FALSE))</f>
        <v>7483</v>
      </c>
      <c r="M29" s="1" t="str">
        <f>IF(ISNA(VLOOKUP(B29,'Leghe Fantacalcio'!A:I,2,FALSE)),"",VLOOKUP(B29,'Leghe Fantacalcio'!A:I,2,FALSE))</f>
        <v/>
      </c>
      <c r="N29" s="1">
        <f t="shared" si="2"/>
        <v>7483</v>
      </c>
      <c r="O29" s="1">
        <f>IFERROR(VLOOKUP(N29,'Leghe Fantacalcio'!B:I,8,FALSE),0)</f>
        <v>6</v>
      </c>
      <c r="P29" s="1" t="str">
        <f t="shared" si="3"/>
        <v>update giocatori set fvm = 6 where id = 1120604;</v>
      </c>
    </row>
    <row r="30" spans="1:16" x14ac:dyDescent="0.25">
      <c r="A30" s="1" t="str">
        <f t="shared" si="0"/>
        <v>AmondarainBologna</v>
      </c>
      <c r="B30" s="1" t="str">
        <f t="shared" si="1"/>
        <v>Amondarain M.Bologna</v>
      </c>
      <c r="C30" s="1">
        <v>1120434</v>
      </c>
      <c r="D30" s="1" t="s">
        <v>409</v>
      </c>
      <c r="E30" s="1" t="s">
        <v>572</v>
      </c>
      <c r="F30" s="1" t="s">
        <v>28</v>
      </c>
      <c r="G30" s="1" t="s">
        <v>283</v>
      </c>
      <c r="H30" s="1">
        <v>6</v>
      </c>
      <c r="I30" s="1">
        <v>8</v>
      </c>
      <c r="J30" s="1" t="str">
        <f>VLOOKUP(A30,'Leghe Fantacalcio'!A:I,1,FALSE)</f>
        <v>AmondarainBologna</v>
      </c>
      <c r="K30" s="1" t="e">
        <f>VLOOKUP(B30,'Leghe Fantacalcio'!A:I,1,FALSE)</f>
        <v>#N/A</v>
      </c>
      <c r="L30" s="1">
        <f>IF(ISNA(VLOOKUP(A30,'Leghe Fantacalcio'!A:I,2,FALSE)),"",VLOOKUP(A30,'Leghe Fantacalcio'!A:I,2,FALSE))</f>
        <v>7528</v>
      </c>
      <c r="M30" s="1" t="str">
        <f>IF(ISNA(VLOOKUP(B30,'Leghe Fantacalcio'!A:I,2,FALSE)),"",VLOOKUP(B30,'Leghe Fantacalcio'!A:I,2,FALSE))</f>
        <v/>
      </c>
      <c r="N30" s="1">
        <f t="shared" si="2"/>
        <v>7528</v>
      </c>
      <c r="O30" s="1">
        <f>IFERROR(VLOOKUP(N30,'Leghe Fantacalcio'!B:I,8,FALSE),0)</f>
        <v>11</v>
      </c>
      <c r="P30" s="1" t="str">
        <f t="shared" si="3"/>
        <v>update giocatori set fvm = 11 where id = 1120434;</v>
      </c>
    </row>
    <row r="31" spans="1:16" x14ac:dyDescent="0.25">
      <c r="A31" s="1" t="str">
        <f t="shared" si="0"/>
        <v>BernardeschiBologna</v>
      </c>
      <c r="B31" s="1" t="str">
        <f t="shared" si="1"/>
        <v>Bernardeschi F.Bologna</v>
      </c>
      <c r="C31" s="1">
        <v>1039156</v>
      </c>
      <c r="D31" s="1" t="s">
        <v>310</v>
      </c>
      <c r="E31" s="1" t="s">
        <v>589</v>
      </c>
      <c r="F31" s="1" t="s">
        <v>28</v>
      </c>
      <c r="G31" s="1" t="s">
        <v>283</v>
      </c>
      <c r="H31" s="1">
        <v>6</v>
      </c>
      <c r="I31" s="1">
        <v>33</v>
      </c>
      <c r="J31" s="1" t="str">
        <f>VLOOKUP(A31,'Leghe Fantacalcio'!A:I,1,FALSE)</f>
        <v>BernardeschiBologna</v>
      </c>
      <c r="K31" s="1" t="e">
        <f>VLOOKUP(B31,'Leghe Fantacalcio'!A:I,1,FALSE)</f>
        <v>#N/A</v>
      </c>
      <c r="L31" s="1">
        <f>IF(ISNA(VLOOKUP(A31,'Leghe Fantacalcio'!A:I,2,FALSE)),"",VLOOKUP(A31,'Leghe Fantacalcio'!A:I,2,FALSE))</f>
        <v>184</v>
      </c>
      <c r="M31" s="1" t="str">
        <f>IF(ISNA(VLOOKUP(B31,'Leghe Fantacalcio'!A:I,2,FALSE)),"",VLOOKUP(B31,'Leghe Fantacalcio'!A:I,2,FALSE))</f>
        <v/>
      </c>
      <c r="N31" s="1">
        <f t="shared" si="2"/>
        <v>184</v>
      </c>
      <c r="O31" s="1">
        <f>IFERROR(VLOOKUP(N31,'Leghe Fantacalcio'!B:I,8,FALSE),0)</f>
        <v>35</v>
      </c>
      <c r="P31" s="1" t="str">
        <f t="shared" si="3"/>
        <v>update giocatori set fvm = 35 where id = 1039156;</v>
      </c>
    </row>
    <row r="32" spans="1:16" x14ac:dyDescent="0.25">
      <c r="A32" s="1" t="str">
        <f t="shared" si="0"/>
        <v>CambiaghiBologna</v>
      </c>
      <c r="B32" s="1" t="str">
        <f t="shared" si="1"/>
        <v>Cambiaghi N.Bologna</v>
      </c>
      <c r="C32" s="1">
        <v>1102053</v>
      </c>
      <c r="D32" s="1" t="s">
        <v>347</v>
      </c>
      <c r="E32" s="1" t="s">
        <v>578</v>
      </c>
      <c r="F32" s="1" t="s">
        <v>28</v>
      </c>
      <c r="G32" s="1" t="s">
        <v>478</v>
      </c>
      <c r="H32" s="1">
        <v>6</v>
      </c>
      <c r="I32" s="1">
        <v>25</v>
      </c>
      <c r="J32" s="1" t="str">
        <f>VLOOKUP(A32,'Leghe Fantacalcio'!A:I,1,FALSE)</f>
        <v>CambiaghiBologna</v>
      </c>
      <c r="K32" s="1" t="e">
        <f>VLOOKUP(B32,'Leghe Fantacalcio'!A:I,1,FALSE)</f>
        <v>#N/A</v>
      </c>
      <c r="L32" s="1">
        <f>IF(ISNA(VLOOKUP(A32,'Leghe Fantacalcio'!A:I,2,FALSE)),"",VLOOKUP(A32,'Leghe Fantacalcio'!A:I,2,FALSE))</f>
        <v>4436</v>
      </c>
      <c r="M32" s="1" t="str">
        <f>IF(ISNA(VLOOKUP(B32,'Leghe Fantacalcio'!A:I,2,FALSE)),"",VLOOKUP(B32,'Leghe Fantacalcio'!A:I,2,FALSE))</f>
        <v/>
      </c>
      <c r="N32" s="1">
        <f t="shared" si="2"/>
        <v>4436</v>
      </c>
      <c r="O32" s="1">
        <f>IFERROR(VLOOKUP(N32,'Leghe Fantacalcio'!B:I,8,FALSE),0)</f>
        <v>22</v>
      </c>
      <c r="P32" s="1" t="str">
        <f t="shared" si="3"/>
        <v>update giocatori set fvm = 22 where id = 1102053;</v>
      </c>
    </row>
    <row r="33" spans="1:16" x14ac:dyDescent="0.25">
      <c r="A33" s="1" t="str">
        <f t="shared" si="0"/>
        <v>CasaleBologna</v>
      </c>
      <c r="B33" s="1" t="str">
        <f t="shared" si="1"/>
        <v>Casale N.Bologna</v>
      </c>
      <c r="C33" s="1">
        <v>1061478</v>
      </c>
      <c r="D33" s="1" t="s">
        <v>237</v>
      </c>
      <c r="E33" s="1" t="s">
        <v>578</v>
      </c>
      <c r="F33" s="1" t="s">
        <v>28</v>
      </c>
      <c r="G33" s="1" t="s">
        <v>92</v>
      </c>
      <c r="H33" s="1">
        <v>6</v>
      </c>
      <c r="I33" s="1">
        <v>1</v>
      </c>
      <c r="J33" s="1" t="str">
        <f>VLOOKUP(A33,'Leghe Fantacalcio'!A:I,1,FALSE)</f>
        <v>CasaleBologna</v>
      </c>
      <c r="K33" s="1" t="e">
        <f>VLOOKUP(B33,'Leghe Fantacalcio'!A:I,1,FALSE)</f>
        <v>#N/A</v>
      </c>
      <c r="L33" s="1">
        <f>IF(ISNA(VLOOKUP(A33,'Leghe Fantacalcio'!A:I,2,FALSE)),"",VLOOKUP(A33,'Leghe Fantacalcio'!A:I,2,FALSE))</f>
        <v>5498</v>
      </c>
      <c r="M33" s="1" t="str">
        <f>IF(ISNA(VLOOKUP(B33,'Leghe Fantacalcio'!A:I,2,FALSE)),"",VLOOKUP(B33,'Leghe Fantacalcio'!A:I,2,FALSE))</f>
        <v/>
      </c>
      <c r="N33" s="1">
        <f t="shared" si="2"/>
        <v>5498</v>
      </c>
      <c r="O33" s="1">
        <f>IFERROR(VLOOKUP(N33,'Leghe Fantacalcio'!B:I,8,FALSE),0)</f>
        <v>5</v>
      </c>
      <c r="P33" s="1" t="str">
        <f t="shared" si="3"/>
        <v>update giocatori set fvm = 5 where id = 1061478;</v>
      </c>
    </row>
    <row r="34" spans="1:16" x14ac:dyDescent="0.25">
      <c r="A34" s="1" t="str">
        <f t="shared" si="0"/>
        <v>De SilvestriBologna</v>
      </c>
      <c r="B34" s="1" t="str">
        <f t="shared" si="1"/>
        <v>De Silvestri L.Bologna</v>
      </c>
      <c r="C34" s="1">
        <v>1018182</v>
      </c>
      <c r="D34" s="1" t="s">
        <v>238</v>
      </c>
      <c r="E34" s="1" t="s">
        <v>590</v>
      </c>
      <c r="F34" s="1" t="s">
        <v>28</v>
      </c>
      <c r="G34" s="1" t="s">
        <v>92</v>
      </c>
      <c r="H34" s="1">
        <v>6</v>
      </c>
      <c r="I34" s="1">
        <v>1</v>
      </c>
      <c r="J34" s="1" t="str">
        <f>VLOOKUP(A34,'Leghe Fantacalcio'!A:I,1,FALSE)</f>
        <v>De SilvestriBologna</v>
      </c>
      <c r="K34" s="1" t="e">
        <f>VLOOKUP(B34,'Leghe Fantacalcio'!A:I,1,FALSE)</f>
        <v>#N/A</v>
      </c>
      <c r="L34" s="1">
        <f>IF(ISNA(VLOOKUP(A34,'Leghe Fantacalcio'!A:I,2,FALSE)),"",VLOOKUP(A34,'Leghe Fantacalcio'!A:I,2,FALSE))</f>
        <v>487</v>
      </c>
      <c r="M34" s="1" t="str">
        <f>IF(ISNA(VLOOKUP(B34,'Leghe Fantacalcio'!A:I,2,FALSE)),"",VLOOKUP(B34,'Leghe Fantacalcio'!A:I,2,FALSE))</f>
        <v/>
      </c>
      <c r="N34" s="1">
        <f t="shared" si="2"/>
        <v>487</v>
      </c>
      <c r="O34" s="1">
        <f>IFERROR(VLOOKUP(N34,'Leghe Fantacalcio'!B:I,8,FALSE),0)</f>
        <v>4</v>
      </c>
      <c r="P34" s="1" t="str">
        <f t="shared" si="3"/>
        <v>update giocatori set fvm = 4 where id = 1018182;</v>
      </c>
    </row>
    <row r="35" spans="1:16" x14ac:dyDescent="0.25">
      <c r="A35" s="1" t="str">
        <f t="shared" si="0"/>
        <v>DovbykBologna</v>
      </c>
      <c r="B35" s="1" t="str">
        <f t="shared" si="1"/>
        <v>Dovbyk A.Bologna</v>
      </c>
      <c r="C35" s="1">
        <v>1053582</v>
      </c>
      <c r="D35" s="1" t="s">
        <v>499</v>
      </c>
      <c r="E35" s="1" t="s">
        <v>584</v>
      </c>
      <c r="F35" s="1" t="s">
        <v>28</v>
      </c>
      <c r="G35" s="1" t="s">
        <v>478</v>
      </c>
      <c r="H35" s="1">
        <v>6</v>
      </c>
      <c r="I35" s="1">
        <v>18</v>
      </c>
      <c r="J35" s="1" t="str">
        <f>VLOOKUP(A35,'Leghe Fantacalcio'!A:I,1,FALSE)</f>
        <v>DovbykBologna</v>
      </c>
      <c r="K35" s="1" t="e">
        <f>VLOOKUP(B35,'Leghe Fantacalcio'!A:I,1,FALSE)</f>
        <v>#N/A</v>
      </c>
      <c r="L35" s="1">
        <f>IF(ISNA(VLOOKUP(A35,'Leghe Fantacalcio'!A:I,2,FALSE)),"",VLOOKUP(A35,'Leghe Fantacalcio'!A:I,2,FALSE))</f>
        <v>6675</v>
      </c>
      <c r="M35" s="1" t="str">
        <f>IF(ISNA(VLOOKUP(B35,'Leghe Fantacalcio'!A:I,2,FALSE)),"",VLOOKUP(B35,'Leghe Fantacalcio'!A:I,2,FALSE))</f>
        <v/>
      </c>
      <c r="N35" s="1">
        <f t="shared" si="2"/>
        <v>6675</v>
      </c>
      <c r="O35" s="1">
        <f>IFERROR(VLOOKUP(N35,'Leghe Fantacalcio'!B:I,8,FALSE),0)</f>
        <v>33</v>
      </c>
      <c r="P35" s="1" t="str">
        <f t="shared" si="3"/>
        <v>update giocatori set fvm = 33 where id = 1053582;</v>
      </c>
    </row>
    <row r="36" spans="1:16" x14ac:dyDescent="0.25">
      <c r="A36" s="1" t="str">
        <f t="shared" si="0"/>
        <v>El AzzouziBologna</v>
      </c>
      <c r="B36" s="1" t="str">
        <f t="shared" si="1"/>
        <v>El Azzouzi O.Bologna</v>
      </c>
      <c r="C36" s="1">
        <v>1114932</v>
      </c>
      <c r="D36" s="1" t="s">
        <v>615</v>
      </c>
      <c r="E36" s="1" t="s">
        <v>577</v>
      </c>
      <c r="F36" s="1" t="s">
        <v>28</v>
      </c>
      <c r="G36" s="1" t="s">
        <v>478</v>
      </c>
      <c r="H36" s="1">
        <v>6</v>
      </c>
      <c r="I36" s="1">
        <v>5</v>
      </c>
      <c r="J36" s="1" t="e">
        <f>VLOOKUP(A36,'Leghe Fantacalcio'!A:I,1,FALSE)</f>
        <v>#N/A</v>
      </c>
      <c r="K36" s="1" t="str">
        <f>VLOOKUP(B36,'Leghe Fantacalcio'!A:I,1,FALSE)</f>
        <v>El Azzouzi O.Bologna</v>
      </c>
      <c r="L36" s="1" t="str">
        <f>IF(ISNA(VLOOKUP(A36,'Leghe Fantacalcio'!A:I,2,FALSE)),"",VLOOKUP(A36,'Leghe Fantacalcio'!A:I,2,FALSE))</f>
        <v/>
      </c>
      <c r="M36" s="1">
        <f>IF(ISNA(VLOOKUP(B36,'Leghe Fantacalcio'!A:I,2,FALSE)),"",VLOOKUP(B36,'Leghe Fantacalcio'!A:I,2,FALSE))</f>
        <v>6225</v>
      </c>
      <c r="N36" s="1">
        <f t="shared" si="2"/>
        <v>6225</v>
      </c>
      <c r="O36" s="1">
        <f>IFERROR(VLOOKUP(N36,'Leghe Fantacalcio'!B:I,8,FALSE),0)</f>
        <v>9</v>
      </c>
      <c r="P36" s="1" t="str">
        <f t="shared" si="3"/>
        <v>update giocatori set fvm = 9 where id = 1114932;</v>
      </c>
    </row>
    <row r="37" spans="1:16" x14ac:dyDescent="0.25">
      <c r="A37" s="1" t="str">
        <f t="shared" si="0"/>
        <v>EnemBologna</v>
      </c>
      <c r="B37" s="1" t="str">
        <f t="shared" si="1"/>
        <v>Enem J.Bologna</v>
      </c>
      <c r="C37" s="1">
        <v>1115299</v>
      </c>
      <c r="D37" s="1" t="s">
        <v>565</v>
      </c>
      <c r="E37" s="1" t="s">
        <v>571</v>
      </c>
      <c r="F37" s="1" t="s">
        <v>28</v>
      </c>
      <c r="G37" s="1" t="s">
        <v>478</v>
      </c>
      <c r="H37" s="1">
        <v>6</v>
      </c>
      <c r="I37" s="1">
        <v>12</v>
      </c>
      <c r="J37" s="1" t="str">
        <f>VLOOKUP(A37,'Leghe Fantacalcio'!A:I,1,FALSE)</f>
        <v>EnemBologna</v>
      </c>
      <c r="K37" s="1" t="e">
        <f>VLOOKUP(B37,'Leghe Fantacalcio'!A:I,1,FALSE)</f>
        <v>#N/A</v>
      </c>
      <c r="L37" s="1">
        <f>IF(ISNA(VLOOKUP(A37,'Leghe Fantacalcio'!A:I,2,FALSE)),"",VLOOKUP(A37,'Leghe Fantacalcio'!A:I,2,FALSE))</f>
        <v>7627</v>
      </c>
      <c r="M37" s="1" t="str">
        <f>IF(ISNA(VLOOKUP(B37,'Leghe Fantacalcio'!A:I,2,FALSE)),"",VLOOKUP(B37,'Leghe Fantacalcio'!A:I,2,FALSE))</f>
        <v/>
      </c>
      <c r="N37" s="1">
        <f t="shared" si="2"/>
        <v>7627</v>
      </c>
      <c r="O37" s="1">
        <f>IFERROR(VLOOKUP(N37,'Leghe Fantacalcio'!B:I,8,FALSE),0)</f>
        <v>4</v>
      </c>
      <c r="P37" s="1" t="str">
        <f t="shared" si="3"/>
        <v>update giocatori set fvm = 4 where id = 1115299;</v>
      </c>
    </row>
    <row r="38" spans="1:16" x14ac:dyDescent="0.25">
      <c r="A38" s="1" t="str">
        <f t="shared" si="0"/>
        <v>FergusonBologna</v>
      </c>
      <c r="B38" s="1" t="str">
        <f t="shared" si="1"/>
        <v>Ferguson L.Bologna</v>
      </c>
      <c r="C38" s="1">
        <v>1096525</v>
      </c>
      <c r="D38" s="1" t="s">
        <v>345</v>
      </c>
      <c r="E38" s="1" t="s">
        <v>590</v>
      </c>
      <c r="F38" s="1" t="s">
        <v>28</v>
      </c>
      <c r="G38" s="1" t="s">
        <v>283</v>
      </c>
      <c r="H38" s="1">
        <v>6</v>
      </c>
      <c r="I38" s="1">
        <v>18</v>
      </c>
      <c r="J38" s="1" t="str">
        <f>VLOOKUP(A38,'Leghe Fantacalcio'!A:I,1,FALSE)</f>
        <v>FergusonBologna</v>
      </c>
      <c r="K38" s="1" t="e">
        <f>VLOOKUP(B38,'Leghe Fantacalcio'!A:I,1,FALSE)</f>
        <v>#N/A</v>
      </c>
      <c r="L38" s="1">
        <f>IF(ISNA(VLOOKUP(A38,'Leghe Fantacalcio'!A:I,2,FALSE)),"",VLOOKUP(A38,'Leghe Fantacalcio'!A:I,2,FALSE))</f>
        <v>5858</v>
      </c>
      <c r="M38" s="1" t="str">
        <f>IF(ISNA(VLOOKUP(B38,'Leghe Fantacalcio'!A:I,2,FALSE)),"",VLOOKUP(B38,'Leghe Fantacalcio'!A:I,2,FALSE))</f>
        <v/>
      </c>
      <c r="N38" s="1">
        <f t="shared" si="2"/>
        <v>5858</v>
      </c>
      <c r="O38" s="1">
        <f>IFERROR(VLOOKUP(N38,'Leghe Fantacalcio'!B:I,8,FALSE),0)</f>
        <v>22</v>
      </c>
      <c r="P38" s="1" t="str">
        <f t="shared" si="3"/>
        <v>update giocatori set fvm = 22 where id = 1096525;</v>
      </c>
    </row>
    <row r="39" spans="1:16" x14ac:dyDescent="0.25">
      <c r="A39" s="1" t="str">
        <f t="shared" si="0"/>
        <v>HapponenBologna</v>
      </c>
      <c r="B39" s="1" t="str">
        <f t="shared" si="1"/>
        <v>Happonen U.Bologna</v>
      </c>
      <c r="C39" s="1">
        <v>1120167</v>
      </c>
      <c r="D39" s="1" t="s">
        <v>54</v>
      </c>
      <c r="E39" s="1" t="s">
        <v>587</v>
      </c>
      <c r="F39" s="1" t="s">
        <v>28</v>
      </c>
      <c r="G39" s="1" t="s">
        <v>8</v>
      </c>
      <c r="H39" s="1">
        <v>6</v>
      </c>
      <c r="I39" s="1">
        <v>1</v>
      </c>
      <c r="J39" s="1" t="str">
        <f>VLOOKUP(A39,'Leghe Fantacalcio'!A:I,1,FALSE)</f>
        <v>HapponenBologna</v>
      </c>
      <c r="K39" s="1" t="e">
        <f>VLOOKUP(B39,'Leghe Fantacalcio'!A:I,1,FALSE)</f>
        <v>#N/A</v>
      </c>
      <c r="L39" s="1">
        <f>IF(ISNA(VLOOKUP(A39,'Leghe Fantacalcio'!A:I,2,FALSE)),"",VLOOKUP(A39,'Leghe Fantacalcio'!A:I,2,FALSE))</f>
        <v>7533</v>
      </c>
      <c r="M39" s="1" t="str">
        <f>IF(ISNA(VLOOKUP(B39,'Leghe Fantacalcio'!A:I,2,FALSE)),"",VLOOKUP(B39,'Leghe Fantacalcio'!A:I,2,FALSE))</f>
        <v/>
      </c>
      <c r="N39" s="1">
        <f t="shared" si="2"/>
        <v>7533</v>
      </c>
      <c r="O39" s="1">
        <f>IFERROR(VLOOKUP(N39,'Leghe Fantacalcio'!B:I,8,FALSE),0)</f>
        <v>1</v>
      </c>
      <c r="P39" s="1" t="str">
        <f t="shared" si="3"/>
        <v>update giocatori set fvm = 1 where id = 1120167;</v>
      </c>
    </row>
    <row r="40" spans="1:16" x14ac:dyDescent="0.25">
      <c r="A40" s="1" t="str">
        <f t="shared" si="0"/>
        <v>HeggemBologna</v>
      </c>
      <c r="B40" s="1" t="str">
        <f t="shared" si="1"/>
        <v>Heggem T.Bologna</v>
      </c>
      <c r="C40" s="1">
        <v>1105359</v>
      </c>
      <c r="D40" s="1" t="s">
        <v>180</v>
      </c>
      <c r="E40" s="1" t="s">
        <v>599</v>
      </c>
      <c r="F40" s="1" t="s">
        <v>28</v>
      </c>
      <c r="G40" s="1" t="s">
        <v>92</v>
      </c>
      <c r="H40" s="1">
        <v>6</v>
      </c>
      <c r="I40" s="1">
        <v>5</v>
      </c>
      <c r="J40" s="1" t="str">
        <f>VLOOKUP(A40,'Leghe Fantacalcio'!A:I,1,FALSE)</f>
        <v>HeggemBologna</v>
      </c>
      <c r="K40" s="1" t="e">
        <f>VLOOKUP(B40,'Leghe Fantacalcio'!A:I,1,FALSE)</f>
        <v>#N/A</v>
      </c>
      <c r="L40" s="1">
        <f>IF(ISNA(VLOOKUP(A40,'Leghe Fantacalcio'!A:I,2,FALSE)),"",VLOOKUP(A40,'Leghe Fantacalcio'!A:I,2,FALSE))</f>
        <v>7212</v>
      </c>
      <c r="M40" s="1" t="str">
        <f>IF(ISNA(VLOOKUP(B40,'Leghe Fantacalcio'!A:I,2,FALSE)),"",VLOOKUP(B40,'Leghe Fantacalcio'!A:I,2,FALSE))</f>
        <v/>
      </c>
      <c r="N40" s="1">
        <f t="shared" si="2"/>
        <v>7212</v>
      </c>
      <c r="O40" s="1">
        <f>IFERROR(VLOOKUP(N40,'Leghe Fantacalcio'!B:I,8,FALSE),0)</f>
        <v>14</v>
      </c>
      <c r="P40" s="1" t="str">
        <f t="shared" si="3"/>
        <v>update giocatori set fvm = 14 where id = 1105359;</v>
      </c>
    </row>
    <row r="41" spans="1:16" x14ac:dyDescent="0.25">
      <c r="A41" s="1" t="str">
        <f t="shared" si="0"/>
        <v>HellandBologna</v>
      </c>
      <c r="B41" s="1" t="str">
        <f t="shared" si="1"/>
        <v>Helland E.Bologna</v>
      </c>
      <c r="C41" s="1">
        <v>1120286</v>
      </c>
      <c r="D41" s="1" t="s">
        <v>179</v>
      </c>
      <c r="E41" s="1" t="s">
        <v>573</v>
      </c>
      <c r="F41" s="1" t="s">
        <v>28</v>
      </c>
      <c r="G41" s="1" t="s">
        <v>92</v>
      </c>
      <c r="H41" s="1">
        <v>6</v>
      </c>
      <c r="I41" s="1">
        <v>5</v>
      </c>
      <c r="J41" s="1" t="str">
        <f>VLOOKUP(A41,'Leghe Fantacalcio'!A:I,1,FALSE)</f>
        <v>HellandBologna</v>
      </c>
      <c r="K41" s="1" t="e">
        <f>VLOOKUP(B41,'Leghe Fantacalcio'!A:I,1,FALSE)</f>
        <v>#N/A</v>
      </c>
      <c r="L41" s="1">
        <f>IF(ISNA(VLOOKUP(A41,'Leghe Fantacalcio'!A:I,2,FALSE)),"",VLOOKUP(A41,'Leghe Fantacalcio'!A:I,2,FALSE))</f>
        <v>7326</v>
      </c>
      <c r="M41" s="1" t="str">
        <f>IF(ISNA(VLOOKUP(B41,'Leghe Fantacalcio'!A:I,2,FALSE)),"",VLOOKUP(B41,'Leghe Fantacalcio'!A:I,2,FALSE))</f>
        <v/>
      </c>
      <c r="N41" s="1">
        <f t="shared" si="2"/>
        <v>7326</v>
      </c>
      <c r="O41" s="1">
        <f>IFERROR(VLOOKUP(N41,'Leghe Fantacalcio'!B:I,8,FALSE),0)</f>
        <v>12</v>
      </c>
      <c r="P41" s="1" t="str">
        <f t="shared" si="3"/>
        <v>update giocatori set fvm = 12 where id = 1120286;</v>
      </c>
    </row>
    <row r="42" spans="1:16" x14ac:dyDescent="0.25">
      <c r="A42" s="1" t="str">
        <f t="shared" si="0"/>
        <v>HolmBologna</v>
      </c>
      <c r="B42" s="1" t="str">
        <f t="shared" si="1"/>
        <v>Holm E.Bologna</v>
      </c>
      <c r="C42" s="1">
        <v>1098169</v>
      </c>
      <c r="D42" s="1" t="s">
        <v>162</v>
      </c>
      <c r="E42" s="1" t="s">
        <v>573</v>
      </c>
      <c r="F42" s="1" t="s">
        <v>28</v>
      </c>
      <c r="G42" s="1" t="s">
        <v>92</v>
      </c>
      <c r="H42" s="1">
        <v>6</v>
      </c>
      <c r="I42" s="1">
        <v>12</v>
      </c>
      <c r="J42" s="1" t="str">
        <f>VLOOKUP(A42,'Leghe Fantacalcio'!A:I,1,FALSE)</f>
        <v>HolmBologna</v>
      </c>
      <c r="K42" s="1" t="e">
        <f>VLOOKUP(B42,'Leghe Fantacalcio'!A:I,1,FALSE)</f>
        <v>#N/A</v>
      </c>
      <c r="L42" s="1">
        <f>IF(ISNA(VLOOKUP(A42,'Leghe Fantacalcio'!A:I,2,FALSE)),"",VLOOKUP(A42,'Leghe Fantacalcio'!A:I,2,FALSE))</f>
        <v>5678</v>
      </c>
      <c r="M42" s="1" t="str">
        <f>IF(ISNA(VLOOKUP(B42,'Leghe Fantacalcio'!A:I,2,FALSE)),"",VLOOKUP(B42,'Leghe Fantacalcio'!A:I,2,FALSE))</f>
        <v/>
      </c>
      <c r="N42" s="1">
        <f t="shared" si="2"/>
        <v>5678</v>
      </c>
      <c r="O42" s="1">
        <f>IFERROR(VLOOKUP(N42,'Leghe Fantacalcio'!B:I,8,FALSE),0)</f>
        <v>11</v>
      </c>
      <c r="P42" s="1" t="str">
        <f t="shared" si="3"/>
        <v>update giocatori set fvm = 11 where id = 1098169;</v>
      </c>
    </row>
    <row r="43" spans="1:16" ht="14.5" x14ac:dyDescent="0.35">
      <c r="A43" s="1" t="str">
        <f t="shared" si="0"/>
        <v>Miranda J.Bologna</v>
      </c>
      <c r="B43" s="1" t="str">
        <f t="shared" si="1"/>
        <v>Miranda J. Bologna</v>
      </c>
      <c r="C43" s="1">
        <v>1066177</v>
      </c>
      <c r="D43" t="s">
        <v>112</v>
      </c>
      <c r="E43" s="1" t="s">
        <v>579</v>
      </c>
      <c r="F43" s="1" t="s">
        <v>28</v>
      </c>
      <c r="G43" s="1" t="s">
        <v>92</v>
      </c>
      <c r="H43" s="1">
        <v>6</v>
      </c>
      <c r="I43" s="1">
        <v>14</v>
      </c>
      <c r="J43" s="1" t="str">
        <f>VLOOKUP(A43,'Leghe Fantacalcio'!A:I,1,FALSE)</f>
        <v>Miranda J.Bologna</v>
      </c>
      <c r="K43" s="1" t="e">
        <f>VLOOKUP(B43,'Leghe Fantacalcio'!A:I,1,FALSE)</f>
        <v>#N/A</v>
      </c>
      <c r="L43" s="1">
        <f>IF(ISNA(VLOOKUP(A43,'Leghe Fantacalcio'!A:I,2,FALSE)),"",VLOOKUP(A43,'Leghe Fantacalcio'!A:I,2,FALSE))</f>
        <v>4734</v>
      </c>
      <c r="M43" s="1" t="str">
        <f>IF(ISNA(VLOOKUP(B43,'Leghe Fantacalcio'!A:I,2,FALSE)),"",VLOOKUP(B43,'Leghe Fantacalcio'!A:I,2,FALSE))</f>
        <v/>
      </c>
      <c r="N43" s="1">
        <f t="shared" si="2"/>
        <v>4734</v>
      </c>
      <c r="O43" s="1">
        <f>IFERROR(VLOOKUP(N43,'Leghe Fantacalcio'!B:I,8,FALSE),0)</f>
        <v>22</v>
      </c>
      <c r="P43" s="1" t="str">
        <f t="shared" si="3"/>
        <v>update giocatori set fvm = 22 where id = 1066177;</v>
      </c>
    </row>
    <row r="44" spans="1:16" x14ac:dyDescent="0.25">
      <c r="A44" s="1" t="str">
        <f t="shared" si="0"/>
        <v>MbangulaBologna</v>
      </c>
      <c r="B44" s="1" t="str">
        <f t="shared" si="1"/>
        <v>Mbangula S.Bologna</v>
      </c>
      <c r="C44" s="1">
        <v>1119754</v>
      </c>
      <c r="D44" s="1" t="s">
        <v>375</v>
      </c>
      <c r="E44" s="1" t="s">
        <v>580</v>
      </c>
      <c r="F44" s="1" t="s">
        <v>28</v>
      </c>
      <c r="G44" s="1" t="s">
        <v>283</v>
      </c>
      <c r="H44" s="1">
        <v>6</v>
      </c>
      <c r="I44" s="1">
        <v>17</v>
      </c>
      <c r="J44" s="1" t="str">
        <f>VLOOKUP(A44,'Leghe Fantacalcio'!A:I,1,FALSE)</f>
        <v>MbangulaBologna</v>
      </c>
      <c r="K44" s="1" t="e">
        <f>VLOOKUP(B44,'Leghe Fantacalcio'!A:I,1,FALSE)</f>
        <v>#N/A</v>
      </c>
      <c r="L44" s="1">
        <f>IF(ISNA(VLOOKUP(A44,'Leghe Fantacalcio'!A:I,2,FALSE)),"",VLOOKUP(A44,'Leghe Fantacalcio'!A:I,2,FALSE))</f>
        <v>6833</v>
      </c>
      <c r="M44" s="1" t="str">
        <f>IF(ISNA(VLOOKUP(B44,'Leghe Fantacalcio'!A:I,2,FALSE)),"",VLOOKUP(B44,'Leghe Fantacalcio'!A:I,2,FALSE))</f>
        <v/>
      </c>
      <c r="N44" s="1">
        <f t="shared" si="2"/>
        <v>6833</v>
      </c>
      <c r="O44" s="1">
        <f>IFERROR(VLOOKUP(N44,'Leghe Fantacalcio'!B:I,8,FALSE),0)</f>
        <v>16</v>
      </c>
      <c r="P44" s="1" t="str">
        <f t="shared" si="3"/>
        <v>update giocatori set fvm = 16 where id = 1119754;</v>
      </c>
    </row>
    <row r="45" spans="1:16" x14ac:dyDescent="0.25">
      <c r="A45" s="1" t="str">
        <f t="shared" si="0"/>
        <v>MoroBologna</v>
      </c>
      <c r="B45" s="1" t="str">
        <f t="shared" si="1"/>
        <v>Moro N.Bologna</v>
      </c>
      <c r="C45" s="1">
        <v>1052254</v>
      </c>
      <c r="D45" s="1" t="s">
        <v>657</v>
      </c>
      <c r="E45" s="1" t="s">
        <v>578</v>
      </c>
      <c r="F45" s="1" t="s">
        <v>28</v>
      </c>
      <c r="G45" s="1" t="s">
        <v>283</v>
      </c>
      <c r="H45" s="1">
        <v>6</v>
      </c>
      <c r="I45" s="1">
        <v>17</v>
      </c>
      <c r="J45" s="1" t="e">
        <f>VLOOKUP(A45,'Leghe Fantacalcio'!A:I,1,FALSE)</f>
        <v>#N/A</v>
      </c>
      <c r="K45" s="1" t="str">
        <f>VLOOKUP(B45,'Leghe Fantacalcio'!A:I,1,FALSE)</f>
        <v>Moro N.Bologna</v>
      </c>
      <c r="L45" s="1" t="str">
        <f>IF(ISNA(VLOOKUP(A45,'Leghe Fantacalcio'!A:I,2,FALSE)),"",VLOOKUP(A45,'Leghe Fantacalcio'!A:I,2,FALSE))</f>
        <v/>
      </c>
      <c r="M45" s="1">
        <f>IF(ISNA(VLOOKUP(B45,'Leghe Fantacalcio'!A:I,2,FALSE)),"",VLOOKUP(B45,'Leghe Fantacalcio'!A:I,2,FALSE))</f>
        <v>6054</v>
      </c>
      <c r="N45" s="1">
        <f t="shared" si="2"/>
        <v>6054</v>
      </c>
      <c r="O45" s="1">
        <f>IFERROR(VLOOKUP(N45,'Leghe Fantacalcio'!B:I,8,FALSE),0)</f>
        <v>14</v>
      </c>
      <c r="P45" s="1" t="str">
        <f t="shared" si="3"/>
        <v>update giocatori set fvm = 14 where id = 1052254;</v>
      </c>
    </row>
    <row r="46" spans="1:16" x14ac:dyDescent="0.25">
      <c r="A46" s="1" t="str">
        <f t="shared" si="0"/>
        <v>OdgaardBologna</v>
      </c>
      <c r="B46" s="1" t="str">
        <f t="shared" si="1"/>
        <v>Odgaard J.Bologna</v>
      </c>
      <c r="C46" s="1">
        <v>1102014</v>
      </c>
      <c r="D46" s="1" t="s">
        <v>363</v>
      </c>
      <c r="E46" s="1" t="s">
        <v>571</v>
      </c>
      <c r="F46" s="1" t="s">
        <v>28</v>
      </c>
      <c r="G46" s="1" t="s">
        <v>283</v>
      </c>
      <c r="H46" s="1">
        <v>6</v>
      </c>
      <c r="I46" s="1">
        <v>19</v>
      </c>
      <c r="J46" s="1" t="str">
        <f>VLOOKUP(A46,'Leghe Fantacalcio'!A:I,1,FALSE)</f>
        <v>OdgaardBologna</v>
      </c>
      <c r="K46" s="1" t="e">
        <f>VLOOKUP(B46,'Leghe Fantacalcio'!A:I,1,FALSE)</f>
        <v>#N/A</v>
      </c>
      <c r="L46" s="1">
        <f>IF(ISNA(VLOOKUP(A46,'Leghe Fantacalcio'!A:I,2,FALSE)),"",VLOOKUP(A46,'Leghe Fantacalcio'!A:I,2,FALSE))</f>
        <v>2765</v>
      </c>
      <c r="M46" s="1" t="str">
        <f>IF(ISNA(VLOOKUP(B46,'Leghe Fantacalcio'!A:I,2,FALSE)),"",VLOOKUP(B46,'Leghe Fantacalcio'!A:I,2,FALSE))</f>
        <v/>
      </c>
      <c r="N46" s="1">
        <f t="shared" si="2"/>
        <v>2765</v>
      </c>
      <c r="O46" s="1">
        <f>IFERROR(VLOOKUP(N46,'Leghe Fantacalcio'!B:I,8,FALSE),0)</f>
        <v>13</v>
      </c>
      <c r="P46" s="1" t="str">
        <f t="shared" si="3"/>
        <v>update giocatori set fvm = 13 where id = 1102014;</v>
      </c>
    </row>
    <row r="47" spans="1:16" x14ac:dyDescent="0.25">
      <c r="A47" s="1" t="str">
        <f t="shared" si="0"/>
        <v>OrsoliniBologna</v>
      </c>
      <c r="B47" s="1" t="str">
        <f t="shared" si="1"/>
        <v>Orsolini R.Bologna</v>
      </c>
      <c r="C47" s="1">
        <v>1052468</v>
      </c>
      <c r="D47" s="1" t="s">
        <v>289</v>
      </c>
      <c r="E47" s="1" t="s">
        <v>581</v>
      </c>
      <c r="F47" s="1" t="s">
        <v>28</v>
      </c>
      <c r="G47" s="1" t="s">
        <v>283</v>
      </c>
      <c r="H47" s="1">
        <v>6</v>
      </c>
      <c r="I47" s="1">
        <v>34</v>
      </c>
      <c r="J47" s="1" t="str">
        <f>VLOOKUP(A47,'Leghe Fantacalcio'!A:I,1,FALSE)</f>
        <v>OrsoliniBologna</v>
      </c>
      <c r="K47" s="1" t="e">
        <f>VLOOKUP(B47,'Leghe Fantacalcio'!A:I,1,FALSE)</f>
        <v>#N/A</v>
      </c>
      <c r="L47" s="1">
        <f>IF(ISNA(VLOOKUP(A47,'Leghe Fantacalcio'!A:I,2,FALSE)),"",VLOOKUP(A47,'Leghe Fantacalcio'!A:I,2,FALSE))</f>
        <v>2167</v>
      </c>
      <c r="M47" s="1" t="str">
        <f>IF(ISNA(VLOOKUP(B47,'Leghe Fantacalcio'!A:I,2,FALSE)),"",VLOOKUP(B47,'Leghe Fantacalcio'!A:I,2,FALSE))</f>
        <v/>
      </c>
      <c r="N47" s="1">
        <f t="shared" si="2"/>
        <v>2167</v>
      </c>
      <c r="O47" s="1">
        <f>IFERROR(VLOOKUP(N47,'Leghe Fantacalcio'!B:I,8,FALSE),0)</f>
        <v>138</v>
      </c>
      <c r="P47" s="1" t="str">
        <f t="shared" si="3"/>
        <v>update giocatori set fvm = 138 where id = 1052468;</v>
      </c>
    </row>
    <row r="48" spans="1:16" x14ac:dyDescent="0.25">
      <c r="A48" s="1" t="str">
        <f t="shared" si="0"/>
        <v>PessinaBologna</v>
      </c>
      <c r="B48" s="1" t="str">
        <f t="shared" si="1"/>
        <v>Pessina M.Bologna</v>
      </c>
      <c r="C48" s="1">
        <v>1119794</v>
      </c>
      <c r="D48" s="1" t="s">
        <v>403</v>
      </c>
      <c r="E48" s="1" t="s">
        <v>572</v>
      </c>
      <c r="F48" s="1" t="s">
        <v>28</v>
      </c>
      <c r="G48" s="1" t="s">
        <v>8</v>
      </c>
      <c r="H48" s="1">
        <v>6</v>
      </c>
      <c r="I48" s="1">
        <v>2</v>
      </c>
      <c r="J48" s="1" t="e">
        <f>VLOOKUP(A48,'Leghe Fantacalcio'!A:I,1,FALSE)</f>
        <v>#N/A</v>
      </c>
      <c r="K48" s="1" t="e">
        <f>VLOOKUP(B48,'Leghe Fantacalcio'!A:I,1,FALSE)</f>
        <v>#N/A</v>
      </c>
      <c r="L48" s="1" t="str">
        <f>IF(ISNA(VLOOKUP(A48,'Leghe Fantacalcio'!A:I,2,FALSE)),"",VLOOKUP(A48,'Leghe Fantacalcio'!A:I,2,FALSE))</f>
        <v/>
      </c>
      <c r="M48" s="1" t="str">
        <f>IF(ISNA(VLOOKUP(B48,'Leghe Fantacalcio'!A:I,2,FALSE)),"",VLOOKUP(B48,'Leghe Fantacalcio'!A:I,2,FALSE))</f>
        <v/>
      </c>
      <c r="N48" s="1" t="str">
        <f t="shared" si="2"/>
        <v/>
      </c>
      <c r="O48" s="1">
        <f>IFERROR(VLOOKUP(N48,'Leghe Fantacalcio'!B:I,8,FALSE),0)</f>
        <v>0</v>
      </c>
      <c r="P48" s="1" t="str">
        <f t="shared" si="3"/>
        <v>update giocatori set fvm = 0 where id = 1119794;</v>
      </c>
    </row>
    <row r="49" spans="1:16" x14ac:dyDescent="0.25">
      <c r="A49" s="1" t="str">
        <f t="shared" si="0"/>
        <v>PiccoliBologna</v>
      </c>
      <c r="B49" s="1" t="str">
        <f t="shared" si="1"/>
        <v>Piccoli R.Bologna</v>
      </c>
      <c r="C49" s="1">
        <v>1070458</v>
      </c>
      <c r="D49" s="1" t="s">
        <v>522</v>
      </c>
      <c r="E49" s="1" t="s">
        <v>581</v>
      </c>
      <c r="F49" s="1" t="s">
        <v>28</v>
      </c>
      <c r="G49" s="1" t="s">
        <v>478</v>
      </c>
      <c r="H49" s="1">
        <v>6</v>
      </c>
      <c r="I49" s="1">
        <v>24</v>
      </c>
      <c r="J49" s="1" t="str">
        <f>VLOOKUP(A49,'Leghe Fantacalcio'!A:I,1,FALSE)</f>
        <v>PiccoliBologna</v>
      </c>
      <c r="K49" s="1" t="e">
        <f>VLOOKUP(B49,'Leghe Fantacalcio'!A:I,1,FALSE)</f>
        <v>#N/A</v>
      </c>
      <c r="L49" s="1">
        <f>IF(ISNA(VLOOKUP(A49,'Leghe Fantacalcio'!A:I,2,FALSE)),"",VLOOKUP(A49,'Leghe Fantacalcio'!A:I,2,FALSE))</f>
        <v>4359</v>
      </c>
      <c r="M49" s="1" t="str">
        <f>IF(ISNA(VLOOKUP(B49,'Leghe Fantacalcio'!A:I,2,FALSE)),"",VLOOKUP(B49,'Leghe Fantacalcio'!A:I,2,FALSE))</f>
        <v/>
      </c>
      <c r="N49" s="1">
        <f t="shared" si="2"/>
        <v>4359</v>
      </c>
      <c r="O49" s="1">
        <f>IFERROR(VLOOKUP(N49,'Leghe Fantacalcio'!B:I,8,FALSE),0)</f>
        <v>41</v>
      </c>
      <c r="P49" s="1" t="str">
        <f t="shared" si="3"/>
        <v>update giocatori set fvm = 41 where id = 1070458;</v>
      </c>
    </row>
    <row r="50" spans="1:16" x14ac:dyDescent="0.25">
      <c r="A50" s="1" t="str">
        <f t="shared" si="0"/>
        <v>PobegaBologna</v>
      </c>
      <c r="B50" s="1" t="str">
        <f t="shared" si="1"/>
        <v>Pobega T.Bologna</v>
      </c>
      <c r="C50" s="1">
        <v>1060968</v>
      </c>
      <c r="D50" s="1" t="s">
        <v>346</v>
      </c>
      <c r="E50" s="1" t="s">
        <v>599</v>
      </c>
      <c r="F50" s="1" t="s">
        <v>28</v>
      </c>
      <c r="G50" s="1" t="s">
        <v>283</v>
      </c>
      <c r="H50" s="1">
        <v>6</v>
      </c>
      <c r="I50" s="1">
        <v>18</v>
      </c>
      <c r="J50" s="1" t="str">
        <f>VLOOKUP(A50,'Leghe Fantacalcio'!A:I,1,FALSE)</f>
        <v>PobegaBologna</v>
      </c>
      <c r="K50" s="1" t="e">
        <f>VLOOKUP(B50,'Leghe Fantacalcio'!A:I,1,FALSE)</f>
        <v>#N/A</v>
      </c>
      <c r="L50" s="1">
        <f>IF(ISNA(VLOOKUP(A50,'Leghe Fantacalcio'!A:I,2,FALSE)),"",VLOOKUP(A50,'Leghe Fantacalcio'!A:I,2,FALSE))</f>
        <v>5298</v>
      </c>
      <c r="M50" s="1" t="str">
        <f>IF(ISNA(VLOOKUP(B50,'Leghe Fantacalcio'!A:I,2,FALSE)),"",VLOOKUP(B50,'Leghe Fantacalcio'!A:I,2,FALSE))</f>
        <v/>
      </c>
      <c r="N50" s="1">
        <f t="shared" si="2"/>
        <v>5298</v>
      </c>
      <c r="O50" s="1">
        <f>IFERROR(VLOOKUP(N50,'Leghe Fantacalcio'!B:I,8,FALSE),0)</f>
        <v>12</v>
      </c>
      <c r="P50" s="1" t="str">
        <f t="shared" si="3"/>
        <v>update giocatori set fvm = 12 where id = 1060968;</v>
      </c>
    </row>
    <row r="51" spans="1:16" x14ac:dyDescent="0.25">
      <c r="A51" s="1" t="str">
        <f t="shared" si="0"/>
        <v>SkorupskiBologna</v>
      </c>
      <c r="B51" s="1" t="str">
        <f t="shared" si="1"/>
        <v>Skorupski L.Bologna</v>
      </c>
      <c r="C51" s="1">
        <v>1038871</v>
      </c>
      <c r="D51" s="1" t="s">
        <v>27</v>
      </c>
      <c r="E51" s="1" t="s">
        <v>590</v>
      </c>
      <c r="F51" s="1" t="s">
        <v>28</v>
      </c>
      <c r="G51" s="1" t="s">
        <v>8</v>
      </c>
      <c r="H51" s="1">
        <v>6</v>
      </c>
      <c r="I51" s="1">
        <v>11</v>
      </c>
      <c r="J51" s="1" t="str">
        <f>VLOOKUP(A51,'Leghe Fantacalcio'!A:I,1,FALSE)</f>
        <v>SkorupskiBologna</v>
      </c>
      <c r="K51" s="1" t="e">
        <f>VLOOKUP(B51,'Leghe Fantacalcio'!A:I,1,FALSE)</f>
        <v>#N/A</v>
      </c>
      <c r="L51" s="1">
        <f>IF(ISNA(VLOOKUP(A51,'Leghe Fantacalcio'!A:I,2,FALSE)),"",VLOOKUP(A51,'Leghe Fantacalcio'!A:I,2,FALSE))</f>
        <v>133</v>
      </c>
      <c r="M51" s="1" t="str">
        <f>IF(ISNA(VLOOKUP(B51,'Leghe Fantacalcio'!A:I,2,FALSE)),"",VLOOKUP(B51,'Leghe Fantacalcio'!A:I,2,FALSE))</f>
        <v/>
      </c>
      <c r="N51" s="1">
        <f t="shared" si="2"/>
        <v>133</v>
      </c>
      <c r="O51" s="1">
        <f>IFERROR(VLOOKUP(N51,'Leghe Fantacalcio'!B:I,8,FALSE),0)</f>
        <v>23</v>
      </c>
      <c r="P51" s="1" t="str">
        <f t="shared" si="3"/>
        <v>update giocatori set fvm = 23 where id = 1038871;</v>
      </c>
    </row>
    <row r="52" spans="1:16" x14ac:dyDescent="0.25">
      <c r="A52" s="1" t="str">
        <f t="shared" si="0"/>
        <v>TheateBologna</v>
      </c>
      <c r="B52" s="1" t="str">
        <f t="shared" si="1"/>
        <v>Theate A.Bologna</v>
      </c>
      <c r="C52" s="1">
        <v>1110749</v>
      </c>
      <c r="D52" s="1" t="s">
        <v>145</v>
      </c>
      <c r="E52" s="1" t="s">
        <v>584</v>
      </c>
      <c r="F52" s="1" t="s">
        <v>28</v>
      </c>
      <c r="G52" s="1" t="s">
        <v>92</v>
      </c>
      <c r="H52" s="1">
        <v>6</v>
      </c>
      <c r="I52" s="1">
        <v>20</v>
      </c>
      <c r="J52" s="1" t="str">
        <f>VLOOKUP(A52,'Leghe Fantacalcio'!A:I,1,FALSE)</f>
        <v>TheateBologna</v>
      </c>
      <c r="K52" s="1" t="e">
        <f>VLOOKUP(B52,'Leghe Fantacalcio'!A:I,1,FALSE)</f>
        <v>#N/A</v>
      </c>
      <c r="L52" s="1">
        <f>IF(ISNA(VLOOKUP(A52,'Leghe Fantacalcio'!A:I,2,FALSE)),"",VLOOKUP(A52,'Leghe Fantacalcio'!A:I,2,FALSE))</f>
        <v>5675</v>
      </c>
      <c r="M52" s="1" t="str">
        <f>IF(ISNA(VLOOKUP(B52,'Leghe Fantacalcio'!A:I,2,FALSE)),"",VLOOKUP(B52,'Leghe Fantacalcio'!A:I,2,FALSE))</f>
        <v/>
      </c>
      <c r="N52" s="1">
        <f t="shared" si="2"/>
        <v>5675</v>
      </c>
      <c r="O52" s="1">
        <f>IFERROR(VLOOKUP(N52,'Leghe Fantacalcio'!B:I,8,FALSE),0)</f>
        <v>20</v>
      </c>
      <c r="P52" s="1" t="str">
        <f t="shared" si="3"/>
        <v>update giocatori set fvm = 20 where id = 1110749;</v>
      </c>
    </row>
    <row r="53" spans="1:16" x14ac:dyDescent="0.25">
      <c r="A53" s="1" t="str">
        <f t="shared" si="0"/>
        <v>VitikBologna</v>
      </c>
      <c r="B53" s="1" t="str">
        <f t="shared" si="1"/>
        <v>Vitik M.Bologna</v>
      </c>
      <c r="C53" s="1">
        <v>1102743</v>
      </c>
      <c r="D53" s="1" t="s">
        <v>201</v>
      </c>
      <c r="E53" s="1" t="s">
        <v>572</v>
      </c>
      <c r="F53" s="1" t="s">
        <v>28</v>
      </c>
      <c r="G53" s="1" t="s">
        <v>92</v>
      </c>
      <c r="H53" s="1">
        <v>6</v>
      </c>
      <c r="I53" s="1">
        <v>4</v>
      </c>
      <c r="J53" s="1" t="str">
        <f>VLOOKUP(A53,'Leghe Fantacalcio'!A:I,1,FALSE)</f>
        <v>VitikBologna</v>
      </c>
      <c r="K53" s="1" t="e">
        <f>VLOOKUP(B53,'Leghe Fantacalcio'!A:I,1,FALSE)</f>
        <v>#N/A</v>
      </c>
      <c r="L53" s="1">
        <f>IF(ISNA(VLOOKUP(A53,'Leghe Fantacalcio'!A:I,2,FALSE)),"",VLOOKUP(A53,'Leghe Fantacalcio'!A:I,2,FALSE))</f>
        <v>7068</v>
      </c>
      <c r="M53" s="1" t="str">
        <f>IF(ISNA(VLOOKUP(B53,'Leghe Fantacalcio'!A:I,2,FALSE)),"",VLOOKUP(B53,'Leghe Fantacalcio'!A:I,2,FALSE))</f>
        <v/>
      </c>
      <c r="N53" s="1">
        <f t="shared" si="2"/>
        <v>7068</v>
      </c>
      <c r="O53" s="1">
        <f>IFERROR(VLOOKUP(N53,'Leghe Fantacalcio'!B:I,8,FALSE),0)</f>
        <v>9</v>
      </c>
      <c r="P53" s="1" t="str">
        <f t="shared" si="3"/>
        <v>update giocatori set fvm = 9 where id = 1102743;</v>
      </c>
    </row>
    <row r="54" spans="1:16" x14ac:dyDescent="0.25">
      <c r="A54" s="1" t="str">
        <f t="shared" si="0"/>
        <v>ZorteaBologna</v>
      </c>
      <c r="B54" s="1" t="str">
        <f t="shared" si="1"/>
        <v>Zortea N.Bologna</v>
      </c>
      <c r="C54" s="1">
        <v>1076574</v>
      </c>
      <c r="D54" s="1" t="s">
        <v>163</v>
      </c>
      <c r="E54" s="1" t="s">
        <v>578</v>
      </c>
      <c r="F54" s="1" t="s">
        <v>28</v>
      </c>
      <c r="G54" s="1" t="s">
        <v>92</v>
      </c>
      <c r="H54" s="1">
        <v>6</v>
      </c>
      <c r="I54" s="1">
        <v>9</v>
      </c>
      <c r="J54" s="1" t="str">
        <f>VLOOKUP(A54,'Leghe Fantacalcio'!A:I,1,FALSE)</f>
        <v>ZorteaBologna</v>
      </c>
      <c r="K54" s="1" t="e">
        <f>VLOOKUP(B54,'Leghe Fantacalcio'!A:I,1,FALSE)</f>
        <v>#N/A</v>
      </c>
      <c r="L54" s="1">
        <f>IF(ISNA(VLOOKUP(A54,'Leghe Fantacalcio'!A:I,2,FALSE)),"",VLOOKUP(A54,'Leghe Fantacalcio'!A:I,2,FALSE))</f>
        <v>4433</v>
      </c>
      <c r="M54" s="1" t="str">
        <f>IF(ISNA(VLOOKUP(B54,'Leghe Fantacalcio'!A:I,2,FALSE)),"",VLOOKUP(B54,'Leghe Fantacalcio'!A:I,2,FALSE))</f>
        <v/>
      </c>
      <c r="N54" s="1">
        <f t="shared" si="2"/>
        <v>4433</v>
      </c>
      <c r="O54" s="1">
        <f>IFERROR(VLOOKUP(N54,'Leghe Fantacalcio'!B:I,8,FALSE),0)</f>
        <v>17</v>
      </c>
      <c r="P54" s="1" t="str">
        <f t="shared" si="3"/>
        <v>update giocatori set fvm = 17 where id = 1076574;</v>
      </c>
    </row>
    <row r="55" spans="1:16" x14ac:dyDescent="0.25">
      <c r="A55" s="1" t="str">
        <f t="shared" si="0"/>
        <v>AdopoCagliari</v>
      </c>
      <c r="B55" s="1" t="str">
        <f t="shared" si="1"/>
        <v>Adopo M.Cagliari</v>
      </c>
      <c r="C55" s="1">
        <v>1066457</v>
      </c>
      <c r="D55" s="1" t="s">
        <v>336</v>
      </c>
      <c r="E55" s="1" t="s">
        <v>572</v>
      </c>
      <c r="F55" s="1" t="s">
        <v>20</v>
      </c>
      <c r="G55" s="1" t="s">
        <v>283</v>
      </c>
      <c r="H55" s="1">
        <v>6</v>
      </c>
      <c r="I55" s="1">
        <v>18</v>
      </c>
      <c r="J55" s="1" t="str">
        <f>VLOOKUP(A55,'Leghe Fantacalcio'!A:I,1,FALSE)</f>
        <v>AdopoCagliari</v>
      </c>
      <c r="K55" s="1" t="e">
        <f>VLOOKUP(B55,'Leghe Fantacalcio'!A:I,1,FALSE)</f>
        <v>#N/A</v>
      </c>
      <c r="L55" s="1">
        <f>IF(ISNA(VLOOKUP(A55,'Leghe Fantacalcio'!A:I,2,FALSE)),"",VLOOKUP(A55,'Leghe Fantacalcio'!A:I,2,FALSE))</f>
        <v>4870</v>
      </c>
      <c r="M55" s="1" t="str">
        <f>IF(ISNA(VLOOKUP(B55,'Leghe Fantacalcio'!A:I,2,FALSE)),"",VLOOKUP(B55,'Leghe Fantacalcio'!A:I,2,FALSE))</f>
        <v/>
      </c>
      <c r="N55" s="1">
        <f t="shared" si="2"/>
        <v>4870</v>
      </c>
      <c r="O55" s="1">
        <f>IFERROR(VLOOKUP(N55,'Leghe Fantacalcio'!B:I,8,FALSE),0)</f>
        <v>12</v>
      </c>
      <c r="P55" s="1" t="str">
        <f t="shared" si="3"/>
        <v>update giocatori set fvm = 12 where id = 1066457;</v>
      </c>
    </row>
    <row r="56" spans="1:16" x14ac:dyDescent="0.25">
      <c r="A56" s="1" t="str">
        <f t="shared" si="0"/>
        <v>AkarakiriCagliari</v>
      </c>
      <c r="B56" s="1" t="str">
        <f t="shared" si="1"/>
        <v>Akarakiri D.Cagliari</v>
      </c>
      <c r="C56" s="1">
        <v>1120435</v>
      </c>
      <c r="D56" s="1" t="s">
        <v>637</v>
      </c>
      <c r="E56" s="1" t="s">
        <v>593</v>
      </c>
      <c r="F56" s="1" t="s">
        <v>20</v>
      </c>
      <c r="G56" s="1" t="s">
        <v>283</v>
      </c>
      <c r="H56" s="1">
        <v>6</v>
      </c>
      <c r="I56" s="1">
        <v>1</v>
      </c>
      <c r="J56" s="1" t="e">
        <f>VLOOKUP(A56,'Leghe Fantacalcio'!A:I,1,FALSE)</f>
        <v>#N/A</v>
      </c>
      <c r="K56" s="1" t="e">
        <f>VLOOKUP(B56,'Leghe Fantacalcio'!A:I,1,FALSE)</f>
        <v>#N/A</v>
      </c>
      <c r="L56" s="1" t="str">
        <f>IF(ISNA(VLOOKUP(A56,'Leghe Fantacalcio'!A:I,2,FALSE)),"",VLOOKUP(A56,'Leghe Fantacalcio'!A:I,2,FALSE))</f>
        <v/>
      </c>
      <c r="M56" s="1" t="str">
        <f>IF(ISNA(VLOOKUP(B56,'Leghe Fantacalcio'!A:I,2,FALSE)),"",VLOOKUP(B56,'Leghe Fantacalcio'!A:I,2,FALSE))</f>
        <v/>
      </c>
      <c r="N56" s="1" t="str">
        <f t="shared" si="2"/>
        <v/>
      </c>
      <c r="O56" s="1">
        <f>IFERROR(VLOOKUP(N56,'Leghe Fantacalcio'!B:I,8,FALSE),0)</f>
        <v>0</v>
      </c>
      <c r="P56" s="1" t="str">
        <f t="shared" si="3"/>
        <v>update giocatori set fvm = 0 where id = 1120435;</v>
      </c>
    </row>
    <row r="57" spans="1:16" x14ac:dyDescent="0.25">
      <c r="A57" s="1" t="str">
        <f t="shared" si="0"/>
        <v>AurelioCagliari</v>
      </c>
      <c r="B57" s="1" t="str">
        <f t="shared" si="1"/>
        <v>Aurelio G.Cagliari</v>
      </c>
      <c r="C57" s="1">
        <v>1095257</v>
      </c>
      <c r="D57" s="1" t="s">
        <v>277</v>
      </c>
      <c r="E57" s="1" t="s">
        <v>575</v>
      </c>
      <c r="F57" s="1" t="s">
        <v>20</v>
      </c>
      <c r="G57" s="1" t="s">
        <v>92</v>
      </c>
      <c r="H57" s="1">
        <v>6</v>
      </c>
      <c r="I57" s="1">
        <v>13</v>
      </c>
      <c r="J57" s="1" t="str">
        <f>VLOOKUP(A57,'Leghe Fantacalcio'!A:I,1,FALSE)</f>
        <v>AurelioCagliari</v>
      </c>
      <c r="K57" s="1" t="e">
        <f>VLOOKUP(B57,'Leghe Fantacalcio'!A:I,1,FALSE)</f>
        <v>#N/A</v>
      </c>
      <c r="L57" s="1">
        <f>IF(ISNA(VLOOKUP(A57,'Leghe Fantacalcio'!A:I,2,FALSE)),"",VLOOKUP(A57,'Leghe Fantacalcio'!A:I,2,FALSE))</f>
        <v>7548</v>
      </c>
      <c r="M57" s="1" t="str">
        <f>IF(ISNA(VLOOKUP(B57,'Leghe Fantacalcio'!A:I,2,FALSE)),"",VLOOKUP(B57,'Leghe Fantacalcio'!A:I,2,FALSE))</f>
        <v/>
      </c>
      <c r="N57" s="1">
        <f t="shared" si="2"/>
        <v>7548</v>
      </c>
      <c r="O57" s="1">
        <f>IFERROR(VLOOKUP(N57,'Leghe Fantacalcio'!B:I,8,FALSE),0)</f>
        <v>5</v>
      </c>
      <c r="P57" s="1" t="str">
        <f t="shared" si="3"/>
        <v>update giocatori set fvm = 5 where id = 1095257;</v>
      </c>
    </row>
    <row r="58" spans="1:16" x14ac:dyDescent="0.25">
      <c r="A58" s="1" t="str">
        <f t="shared" si="0"/>
        <v>CaprileCagliari</v>
      </c>
      <c r="B58" s="1" t="str">
        <f t="shared" si="1"/>
        <v>Caprile E.Cagliari</v>
      </c>
      <c r="C58" s="1">
        <v>1069665</v>
      </c>
      <c r="D58" s="1" t="s">
        <v>19</v>
      </c>
      <c r="E58" s="1" t="s">
        <v>573</v>
      </c>
      <c r="F58" s="1" t="s">
        <v>20</v>
      </c>
      <c r="G58" s="1" t="s">
        <v>8</v>
      </c>
      <c r="H58" s="1">
        <v>6</v>
      </c>
      <c r="I58" s="1">
        <v>15</v>
      </c>
      <c r="J58" s="1" t="str">
        <f>VLOOKUP(A58,'Leghe Fantacalcio'!A:I,1,FALSE)</f>
        <v>CaprileCagliari</v>
      </c>
      <c r="K58" s="1" t="e">
        <f>VLOOKUP(B58,'Leghe Fantacalcio'!A:I,1,FALSE)</f>
        <v>#N/A</v>
      </c>
      <c r="L58" s="1">
        <f>IF(ISNA(VLOOKUP(A58,'Leghe Fantacalcio'!A:I,2,FALSE)),"",VLOOKUP(A58,'Leghe Fantacalcio'!A:I,2,FALSE))</f>
        <v>4360</v>
      </c>
      <c r="M58" s="1" t="str">
        <f>IF(ISNA(VLOOKUP(B58,'Leghe Fantacalcio'!A:I,2,FALSE)),"",VLOOKUP(B58,'Leghe Fantacalcio'!A:I,2,FALSE))</f>
        <v/>
      </c>
      <c r="N58" s="1">
        <f t="shared" si="2"/>
        <v>4360</v>
      </c>
      <c r="O58" s="1">
        <f>IFERROR(VLOOKUP(N58,'Leghe Fantacalcio'!B:I,8,FALSE),0)</f>
        <v>30</v>
      </c>
      <c r="P58" s="1" t="str">
        <f t="shared" si="3"/>
        <v>update giocatori set fvm = 30 where id = 1069665;</v>
      </c>
    </row>
    <row r="59" spans="1:16" x14ac:dyDescent="0.25">
      <c r="A59" s="1" t="str">
        <f t="shared" si="0"/>
        <v>CiervoCagliari</v>
      </c>
      <c r="B59" s="1" t="str">
        <f t="shared" si="1"/>
        <v>Ciervo R.Cagliari</v>
      </c>
      <c r="C59" s="1">
        <v>1103077</v>
      </c>
      <c r="D59" s="1" t="s">
        <v>474</v>
      </c>
      <c r="E59" s="1" t="s">
        <v>581</v>
      </c>
      <c r="F59" s="1" t="s">
        <v>20</v>
      </c>
      <c r="G59" s="1" t="s">
        <v>283</v>
      </c>
      <c r="H59" s="1">
        <v>6</v>
      </c>
      <c r="I59" s="1">
        <v>11</v>
      </c>
      <c r="J59" s="1" t="str">
        <f>VLOOKUP(A59,'Leghe Fantacalcio'!A:I,1,FALSE)</f>
        <v>CiervoCagliari</v>
      </c>
      <c r="K59" s="1" t="e">
        <f>VLOOKUP(B59,'Leghe Fantacalcio'!A:I,1,FALSE)</f>
        <v>#N/A</v>
      </c>
      <c r="L59" s="1">
        <f>IF(ISNA(VLOOKUP(A59,'Leghe Fantacalcio'!A:I,2,FALSE)),"",VLOOKUP(A59,'Leghe Fantacalcio'!A:I,2,FALSE))</f>
        <v>5462</v>
      </c>
      <c r="M59" s="1" t="str">
        <f>IF(ISNA(VLOOKUP(B59,'Leghe Fantacalcio'!A:I,2,FALSE)),"",VLOOKUP(B59,'Leghe Fantacalcio'!A:I,2,FALSE))</f>
        <v/>
      </c>
      <c r="N59" s="1">
        <f t="shared" si="2"/>
        <v>5462</v>
      </c>
      <c r="O59" s="1">
        <f>IFERROR(VLOOKUP(N59,'Leghe Fantacalcio'!B:I,8,FALSE),0)</f>
        <v>1</v>
      </c>
      <c r="P59" s="1" t="str">
        <f t="shared" si="3"/>
        <v>update giocatori set fvm = 1 where id = 1103077;</v>
      </c>
    </row>
    <row r="60" spans="1:16" x14ac:dyDescent="0.25">
      <c r="A60" s="1" t="str">
        <f t="shared" si="0"/>
        <v>DeiolaCagliari</v>
      </c>
      <c r="B60" s="1" t="str">
        <f t="shared" si="1"/>
        <v>Deiola A.Cagliari</v>
      </c>
      <c r="C60" s="1">
        <v>1040467</v>
      </c>
      <c r="D60" s="1" t="s">
        <v>395</v>
      </c>
      <c r="E60" s="1" t="s">
        <v>584</v>
      </c>
      <c r="F60" s="1" t="s">
        <v>20</v>
      </c>
      <c r="G60" s="1" t="s">
        <v>283</v>
      </c>
      <c r="H60" s="1">
        <v>6</v>
      </c>
      <c r="I60" s="1">
        <v>11</v>
      </c>
      <c r="J60" s="1" t="str">
        <f>VLOOKUP(A60,'Leghe Fantacalcio'!A:I,1,FALSE)</f>
        <v>DeiolaCagliari</v>
      </c>
      <c r="K60" s="1" t="e">
        <f>VLOOKUP(B60,'Leghe Fantacalcio'!A:I,1,FALSE)</f>
        <v>#N/A</v>
      </c>
      <c r="L60" s="1">
        <f>IF(ISNA(VLOOKUP(A60,'Leghe Fantacalcio'!A:I,2,FALSE)),"",VLOOKUP(A60,'Leghe Fantacalcio'!A:I,2,FALSE))</f>
        <v>1871</v>
      </c>
      <c r="M60" s="1" t="str">
        <f>IF(ISNA(VLOOKUP(B60,'Leghe Fantacalcio'!A:I,2,FALSE)),"",VLOOKUP(B60,'Leghe Fantacalcio'!A:I,2,FALSE))</f>
        <v/>
      </c>
      <c r="N60" s="1">
        <f t="shared" si="2"/>
        <v>1871</v>
      </c>
      <c r="O60" s="1">
        <f>IFERROR(VLOOKUP(N60,'Leghe Fantacalcio'!B:I,8,FALSE),0)</f>
        <v>10</v>
      </c>
      <c r="P60" s="1" t="str">
        <f t="shared" si="3"/>
        <v>update giocatori set fvm = 10 where id = 1040467;</v>
      </c>
    </row>
    <row r="61" spans="1:16" x14ac:dyDescent="0.25">
      <c r="A61" s="1" t="str">
        <f t="shared" si="0"/>
        <v>FaderaCagliari</v>
      </c>
      <c r="B61" s="1" t="str">
        <f t="shared" si="1"/>
        <v>Fadera A.Cagliari</v>
      </c>
      <c r="C61" s="1">
        <v>1117489</v>
      </c>
      <c r="D61" s="1" t="s">
        <v>411</v>
      </c>
      <c r="E61" s="1" t="s">
        <v>584</v>
      </c>
      <c r="F61" s="1" t="s">
        <v>20</v>
      </c>
      <c r="G61" s="1" t="s">
        <v>283</v>
      </c>
      <c r="H61" s="1">
        <v>6</v>
      </c>
      <c r="I61" s="1">
        <v>18</v>
      </c>
      <c r="J61" s="1" t="str">
        <f>VLOOKUP(A61,'Leghe Fantacalcio'!A:I,1,FALSE)</f>
        <v>FaderaCagliari</v>
      </c>
      <c r="K61" s="1" t="e">
        <f>VLOOKUP(B61,'Leghe Fantacalcio'!A:I,1,FALSE)</f>
        <v>#N/A</v>
      </c>
      <c r="L61" s="1">
        <f>IF(ISNA(VLOOKUP(A61,'Leghe Fantacalcio'!A:I,2,FALSE)),"",VLOOKUP(A61,'Leghe Fantacalcio'!A:I,2,FALSE))</f>
        <v>6815</v>
      </c>
      <c r="M61" s="1" t="str">
        <f>IF(ISNA(VLOOKUP(B61,'Leghe Fantacalcio'!A:I,2,FALSE)),"",VLOOKUP(B61,'Leghe Fantacalcio'!A:I,2,FALSE))</f>
        <v/>
      </c>
      <c r="N61" s="1">
        <f t="shared" si="2"/>
        <v>6815</v>
      </c>
      <c r="O61" s="1">
        <f>IFERROR(VLOOKUP(N61,'Leghe Fantacalcio'!B:I,8,FALSE),0)</f>
        <v>12</v>
      </c>
      <c r="P61" s="1" t="str">
        <f t="shared" si="3"/>
        <v>update giocatori set fvm = 12 where id = 1117489;</v>
      </c>
    </row>
    <row r="62" spans="1:16" x14ac:dyDescent="0.25">
      <c r="A62" s="1" t="str">
        <f t="shared" si="0"/>
        <v>FazziniCagliari</v>
      </c>
      <c r="B62" s="1" t="str">
        <f t="shared" si="1"/>
        <v>Fazzini J.Cagliari</v>
      </c>
      <c r="C62" s="1">
        <v>1111870</v>
      </c>
      <c r="D62" s="1" t="s">
        <v>364</v>
      </c>
      <c r="E62" s="1" t="s">
        <v>571</v>
      </c>
      <c r="F62" s="1" t="s">
        <v>20</v>
      </c>
      <c r="G62" s="1" t="s">
        <v>283</v>
      </c>
      <c r="H62" s="1">
        <v>6</v>
      </c>
      <c r="I62" s="1">
        <v>17</v>
      </c>
      <c r="J62" s="1" t="str">
        <f>VLOOKUP(A62,'Leghe Fantacalcio'!A:I,1,FALSE)</f>
        <v>FazziniCagliari</v>
      </c>
      <c r="K62" s="1" t="e">
        <f>VLOOKUP(B62,'Leghe Fantacalcio'!A:I,1,FALSE)</f>
        <v>#N/A</v>
      </c>
      <c r="L62" s="1">
        <f>IF(ISNA(VLOOKUP(A62,'Leghe Fantacalcio'!A:I,2,FALSE)),"",VLOOKUP(A62,'Leghe Fantacalcio'!A:I,2,FALSE))</f>
        <v>6010</v>
      </c>
      <c r="M62" s="1" t="str">
        <f>IF(ISNA(VLOOKUP(B62,'Leghe Fantacalcio'!A:I,2,FALSE)),"",VLOOKUP(B62,'Leghe Fantacalcio'!A:I,2,FALSE))</f>
        <v/>
      </c>
      <c r="N62" s="1">
        <f t="shared" si="2"/>
        <v>6010</v>
      </c>
      <c r="O62" s="1">
        <f>IFERROR(VLOOKUP(N62,'Leghe Fantacalcio'!B:I,8,FALSE),0)</f>
        <v>25</v>
      </c>
      <c r="P62" s="1" t="str">
        <f t="shared" si="3"/>
        <v>update giocatori set fvm = 25 where id = 1111870;</v>
      </c>
    </row>
    <row r="63" spans="1:16" x14ac:dyDescent="0.25">
      <c r="A63" s="1" t="str">
        <f t="shared" si="0"/>
        <v>FeliciCagliari</v>
      </c>
      <c r="B63" s="1" t="str">
        <f t="shared" si="1"/>
        <v>Felici M.Cagliari</v>
      </c>
      <c r="C63" s="1">
        <v>1102065</v>
      </c>
      <c r="D63" s="1" t="s">
        <v>410</v>
      </c>
      <c r="E63" s="1" t="s">
        <v>572</v>
      </c>
      <c r="F63" s="1" t="s">
        <v>20</v>
      </c>
      <c r="G63" s="1" t="s">
        <v>478</v>
      </c>
      <c r="H63" s="1">
        <v>6</v>
      </c>
      <c r="I63" s="1">
        <v>8</v>
      </c>
      <c r="J63" s="1" t="str">
        <f>VLOOKUP(A63,'Leghe Fantacalcio'!A:I,1,FALSE)</f>
        <v>FeliciCagliari</v>
      </c>
      <c r="K63" s="1" t="e">
        <f>VLOOKUP(B63,'Leghe Fantacalcio'!A:I,1,FALSE)</f>
        <v>#N/A</v>
      </c>
      <c r="L63" s="1">
        <f>IF(ISNA(VLOOKUP(A63,'Leghe Fantacalcio'!A:I,2,FALSE)),"",VLOOKUP(A63,'Leghe Fantacalcio'!A:I,2,FALSE))</f>
        <v>6640</v>
      </c>
      <c r="M63" s="1" t="str">
        <f>IF(ISNA(VLOOKUP(B63,'Leghe Fantacalcio'!A:I,2,FALSE)),"",VLOOKUP(B63,'Leghe Fantacalcio'!A:I,2,FALSE))</f>
        <v/>
      </c>
      <c r="N63" s="1">
        <f t="shared" si="2"/>
        <v>6640</v>
      </c>
      <c r="O63" s="1">
        <f>IFERROR(VLOOKUP(N63,'Leghe Fantacalcio'!B:I,8,FALSE),0)</f>
        <v>7</v>
      </c>
      <c r="P63" s="1" t="str">
        <f t="shared" si="3"/>
        <v>update giocatori set fvm = 7 where id = 1102065;</v>
      </c>
    </row>
    <row r="64" spans="1:16" x14ac:dyDescent="0.25">
      <c r="A64" s="1" t="str">
        <f t="shared" si="0"/>
        <v>GagliardiniCagliari</v>
      </c>
      <c r="B64" s="1" t="str">
        <f t="shared" si="1"/>
        <v>Gagliardini R.Cagliari</v>
      </c>
      <c r="C64" s="1">
        <v>1038964</v>
      </c>
      <c r="D64" s="1" t="s">
        <v>446</v>
      </c>
      <c r="E64" s="1" t="s">
        <v>581</v>
      </c>
      <c r="F64" s="1" t="s">
        <v>20</v>
      </c>
      <c r="G64" s="1" t="s">
        <v>283</v>
      </c>
      <c r="H64" s="1">
        <v>6</v>
      </c>
      <c r="I64" s="1">
        <v>9</v>
      </c>
      <c r="J64" s="1" t="str">
        <f>VLOOKUP(A64,'Leghe Fantacalcio'!A:I,1,FALSE)</f>
        <v>GagliardiniCagliari</v>
      </c>
      <c r="K64" s="1" t="e">
        <f>VLOOKUP(B64,'Leghe Fantacalcio'!A:I,1,FALSE)</f>
        <v>#N/A</v>
      </c>
      <c r="L64" s="1">
        <f>IF(ISNA(VLOOKUP(A64,'Leghe Fantacalcio'!A:I,2,FALSE)),"",VLOOKUP(A64,'Leghe Fantacalcio'!A:I,2,FALSE))</f>
        <v>801</v>
      </c>
      <c r="M64" s="1" t="str">
        <f>IF(ISNA(VLOOKUP(B64,'Leghe Fantacalcio'!A:I,2,FALSE)),"",VLOOKUP(B64,'Leghe Fantacalcio'!A:I,2,FALSE))</f>
        <v/>
      </c>
      <c r="N64" s="1">
        <f t="shared" si="2"/>
        <v>801</v>
      </c>
      <c r="O64" s="1">
        <f>IFERROR(VLOOKUP(N64,'Leghe Fantacalcio'!B:I,8,FALSE),0)</f>
        <v>8</v>
      </c>
      <c r="P64" s="1" t="str">
        <f t="shared" si="3"/>
        <v>update giocatori set fvm = 8 where id = 1038964;</v>
      </c>
    </row>
    <row r="65" spans="1:16" x14ac:dyDescent="0.25">
      <c r="A65" s="1" t="str">
        <f t="shared" si="0"/>
        <v>GranduCagliari</v>
      </c>
      <c r="B65" s="1" t="str">
        <f t="shared" si="1"/>
        <v>Grandu N.Cagliari</v>
      </c>
      <c r="C65" s="1">
        <v>1120176</v>
      </c>
      <c r="D65" s="1" t="s">
        <v>645</v>
      </c>
      <c r="E65" s="1" t="s">
        <v>578</v>
      </c>
      <c r="F65" s="1" t="s">
        <v>20</v>
      </c>
      <c r="G65" s="1" t="s">
        <v>283</v>
      </c>
      <c r="H65" s="1">
        <v>6</v>
      </c>
      <c r="I65" s="1">
        <v>1</v>
      </c>
      <c r="J65" s="1" t="e">
        <f>VLOOKUP(A65,'Leghe Fantacalcio'!A:I,1,FALSE)</f>
        <v>#N/A</v>
      </c>
      <c r="K65" s="1" t="e">
        <f>VLOOKUP(B65,'Leghe Fantacalcio'!A:I,1,FALSE)</f>
        <v>#N/A</v>
      </c>
      <c r="L65" s="1" t="str">
        <f>IF(ISNA(VLOOKUP(A65,'Leghe Fantacalcio'!A:I,2,FALSE)),"",VLOOKUP(A65,'Leghe Fantacalcio'!A:I,2,FALSE))</f>
        <v/>
      </c>
      <c r="M65" s="1" t="str">
        <f>IF(ISNA(VLOOKUP(B65,'Leghe Fantacalcio'!A:I,2,FALSE)),"",VLOOKUP(B65,'Leghe Fantacalcio'!A:I,2,FALSE))</f>
        <v/>
      </c>
      <c r="N65" s="1" t="str">
        <f t="shared" si="2"/>
        <v/>
      </c>
      <c r="O65" s="1">
        <f>IFERROR(VLOOKUP(N65,'Leghe Fantacalcio'!B:I,8,FALSE),0)</f>
        <v>0</v>
      </c>
      <c r="P65" s="1" t="str">
        <f t="shared" si="3"/>
        <v>update giocatori set fvm = 0 where id = 1120176;</v>
      </c>
    </row>
    <row r="66" spans="1:16" x14ac:dyDescent="0.25">
      <c r="A66" s="1" t="str">
        <f t="shared" ref="A66:A129" si="4">CONCATENATE(D66,F66)</f>
        <v>IdrissiCagliari</v>
      </c>
      <c r="B66" s="1" t="str">
        <f t="shared" si="1"/>
        <v>Idrissi R.Cagliari</v>
      </c>
      <c r="C66" s="1">
        <v>1119938</v>
      </c>
      <c r="D66" s="1" t="s">
        <v>618</v>
      </c>
      <c r="E66" s="1" t="s">
        <v>581</v>
      </c>
      <c r="F66" s="1" t="s">
        <v>20</v>
      </c>
      <c r="G66" s="1" t="s">
        <v>92</v>
      </c>
      <c r="H66" s="1">
        <v>6</v>
      </c>
      <c r="I66" s="1">
        <v>3</v>
      </c>
      <c r="J66" s="1" t="e">
        <f>VLOOKUP(A66,'Leghe Fantacalcio'!A:I,1,FALSE)</f>
        <v>#N/A</v>
      </c>
      <c r="K66" s="1" t="str">
        <f>VLOOKUP(B66,'Leghe Fantacalcio'!A:I,1,FALSE)</f>
        <v>Idrissi R.Cagliari</v>
      </c>
      <c r="L66" s="1" t="str">
        <f>IF(ISNA(VLOOKUP(A66,'Leghe Fantacalcio'!A:I,2,FALSE)),"",VLOOKUP(A66,'Leghe Fantacalcio'!A:I,2,FALSE))</f>
        <v/>
      </c>
      <c r="M66" s="1">
        <f>IF(ISNA(VLOOKUP(B66,'Leghe Fantacalcio'!A:I,2,FALSE)),"",VLOOKUP(B66,'Leghe Fantacalcio'!A:I,2,FALSE))</f>
        <v>7125</v>
      </c>
      <c r="N66" s="1">
        <f t="shared" si="2"/>
        <v>7125</v>
      </c>
      <c r="O66" s="1">
        <f>IFERROR(VLOOKUP(N66,'Leghe Fantacalcio'!B:I,8,FALSE),0)</f>
        <v>3</v>
      </c>
      <c r="P66" s="1" t="str">
        <f t="shared" si="3"/>
        <v>update giocatori set fvm = 3 where id = 1119938;</v>
      </c>
    </row>
    <row r="67" spans="1:16" x14ac:dyDescent="0.25">
      <c r="A67" s="1" t="str">
        <f t="shared" si="4"/>
        <v>Kevin CarlosCagliari</v>
      </c>
      <c r="B67" s="1" t="str">
        <f t="shared" ref="B67:B130" si="5">CONCATENATE(D67," ",E67,F67)</f>
        <v>Kevin Carlos Cagliari</v>
      </c>
      <c r="C67" s="1">
        <v>1103519</v>
      </c>
      <c r="D67" s="1" t="s">
        <v>520</v>
      </c>
      <c r="E67" s="1" t="s">
        <v>579</v>
      </c>
      <c r="F67" s="1" t="s">
        <v>20</v>
      </c>
      <c r="G67" s="1" t="s">
        <v>478</v>
      </c>
      <c r="H67" s="1">
        <v>6</v>
      </c>
      <c r="I67" s="1">
        <v>9</v>
      </c>
      <c r="J67" s="1" t="str">
        <f>VLOOKUP(A67,'Leghe Fantacalcio'!A:I,1,FALSE)</f>
        <v>Kevin CarlosCagliari</v>
      </c>
      <c r="K67" s="1" t="e">
        <f>VLOOKUP(B67,'Leghe Fantacalcio'!A:I,1,FALSE)</f>
        <v>#N/A</v>
      </c>
      <c r="L67" s="1">
        <f>IF(ISNA(VLOOKUP(A67,'Leghe Fantacalcio'!A:I,2,FALSE)),"",VLOOKUP(A67,'Leghe Fantacalcio'!A:I,2,FALSE))</f>
        <v>7547</v>
      </c>
      <c r="M67" s="1" t="str">
        <f>IF(ISNA(VLOOKUP(B67,'Leghe Fantacalcio'!A:I,2,FALSE)),"",VLOOKUP(B67,'Leghe Fantacalcio'!A:I,2,FALSE))</f>
        <v/>
      </c>
      <c r="N67" s="1">
        <f t="shared" ref="N67:N130" si="6">IFERROR(VALUE(CONCATENATE(L67,M67)),"")</f>
        <v>7547</v>
      </c>
      <c r="O67" s="1">
        <f>IFERROR(VLOOKUP(N67,'Leghe Fantacalcio'!B:I,8,FALSE),0)</f>
        <v>20</v>
      </c>
      <c r="P67" s="1" t="str">
        <f t="shared" ref="P67:P130" si="7">CONCATENATE("update giocatori set fvm = ",O67," where id = ",C67,";")</f>
        <v>update giocatori set fvm = 20 where id = 1103519;</v>
      </c>
    </row>
    <row r="68" spans="1:16" x14ac:dyDescent="0.25">
      <c r="A68" s="1" t="str">
        <f t="shared" si="4"/>
        <v>KoflerCagliari</v>
      </c>
      <c r="B68" s="1" t="str">
        <f t="shared" si="5"/>
        <v>Kofler R.Cagliari</v>
      </c>
      <c r="C68" s="1">
        <v>1115107</v>
      </c>
      <c r="D68" s="1" t="s">
        <v>181</v>
      </c>
      <c r="E68" s="1" t="s">
        <v>581</v>
      </c>
      <c r="F68" s="1" t="s">
        <v>20</v>
      </c>
      <c r="G68" s="1" t="s">
        <v>92</v>
      </c>
      <c r="H68" s="1">
        <v>6</v>
      </c>
      <c r="I68" s="1">
        <v>2</v>
      </c>
      <c r="J68" s="1" t="str">
        <f>VLOOKUP(A68,'Leghe Fantacalcio'!A:I,1,FALSE)</f>
        <v>KoflerCagliari</v>
      </c>
      <c r="K68" s="1" t="e">
        <f>VLOOKUP(B68,'Leghe Fantacalcio'!A:I,1,FALSE)</f>
        <v>#N/A</v>
      </c>
      <c r="L68" s="1">
        <f>IF(ISNA(VLOOKUP(A68,'Leghe Fantacalcio'!A:I,2,FALSE)),"",VLOOKUP(A68,'Leghe Fantacalcio'!A:I,2,FALSE))</f>
        <v>7532</v>
      </c>
      <c r="M68" s="1" t="str">
        <f>IF(ISNA(VLOOKUP(B68,'Leghe Fantacalcio'!A:I,2,FALSE)),"",VLOOKUP(B68,'Leghe Fantacalcio'!A:I,2,FALSE))</f>
        <v/>
      </c>
      <c r="N68" s="1">
        <f t="shared" si="6"/>
        <v>7532</v>
      </c>
      <c r="O68" s="1">
        <f>IFERROR(VLOOKUP(N68,'Leghe Fantacalcio'!B:I,8,FALSE),0)</f>
        <v>4</v>
      </c>
      <c r="P68" s="1" t="str">
        <f t="shared" si="7"/>
        <v>update giocatori set fvm = 4 where id = 1115107;</v>
      </c>
    </row>
    <row r="69" spans="1:16" x14ac:dyDescent="0.25">
      <c r="A69" s="1" t="str">
        <f t="shared" si="4"/>
        <v>LitetaCagliari</v>
      </c>
      <c r="B69" s="1" t="str">
        <f t="shared" si="5"/>
        <v>Liteta J.Cagliari</v>
      </c>
      <c r="C69" s="1">
        <v>1119941</v>
      </c>
      <c r="D69" s="1" t="s">
        <v>459</v>
      </c>
      <c r="E69" s="1" t="s">
        <v>571</v>
      </c>
      <c r="F69" s="1" t="s">
        <v>20</v>
      </c>
      <c r="G69" s="1" t="s">
        <v>283</v>
      </c>
      <c r="H69" s="1">
        <v>6</v>
      </c>
      <c r="I69" s="1">
        <v>1</v>
      </c>
      <c r="J69" s="1" t="str">
        <f>VLOOKUP(A69,'Leghe Fantacalcio'!A:I,1,FALSE)</f>
        <v>LitetaCagliari</v>
      </c>
      <c r="K69" s="1" t="e">
        <f>VLOOKUP(B69,'Leghe Fantacalcio'!A:I,1,FALSE)</f>
        <v>#N/A</v>
      </c>
      <c r="L69" s="1">
        <f>IF(ISNA(VLOOKUP(A69,'Leghe Fantacalcio'!A:I,2,FALSE)),"",VLOOKUP(A69,'Leghe Fantacalcio'!A:I,2,FALSE))</f>
        <v>7165</v>
      </c>
      <c r="M69" s="1" t="str">
        <f>IF(ISNA(VLOOKUP(B69,'Leghe Fantacalcio'!A:I,2,FALSE)),"",VLOOKUP(B69,'Leghe Fantacalcio'!A:I,2,FALSE))</f>
        <v/>
      </c>
      <c r="N69" s="1">
        <f t="shared" si="6"/>
        <v>7165</v>
      </c>
      <c r="O69" s="1">
        <f>IFERROR(VLOOKUP(N69,'Leghe Fantacalcio'!B:I,8,FALSE),0)</f>
        <v>1</v>
      </c>
      <c r="P69" s="1" t="str">
        <f t="shared" si="7"/>
        <v>update giocatori set fvm = 1 where id = 1119941;</v>
      </c>
    </row>
    <row r="70" spans="1:16" x14ac:dyDescent="0.25">
      <c r="A70" s="1" t="str">
        <f t="shared" si="4"/>
        <v>MaldiniCagliari</v>
      </c>
      <c r="B70" s="1" t="str">
        <f t="shared" si="5"/>
        <v>Maldini D.Cagliari</v>
      </c>
      <c r="C70" s="1">
        <v>1073082</v>
      </c>
      <c r="D70" s="1" t="s">
        <v>511</v>
      </c>
      <c r="E70" s="1" t="s">
        <v>593</v>
      </c>
      <c r="F70" s="1" t="s">
        <v>20</v>
      </c>
      <c r="G70" s="1" t="s">
        <v>283</v>
      </c>
      <c r="H70" s="1">
        <v>6</v>
      </c>
      <c r="I70" s="1">
        <v>26</v>
      </c>
      <c r="J70" s="1" t="str">
        <f>VLOOKUP(A70,'Leghe Fantacalcio'!A:I,1,FALSE)</f>
        <v>MaldiniCagliari</v>
      </c>
      <c r="K70" s="1" t="e">
        <f>VLOOKUP(B70,'Leghe Fantacalcio'!A:I,1,FALSE)</f>
        <v>#N/A</v>
      </c>
      <c r="L70" s="1">
        <f>IF(ISNA(VLOOKUP(A70,'Leghe Fantacalcio'!A:I,2,FALSE)),"",VLOOKUP(A70,'Leghe Fantacalcio'!A:I,2,FALSE))</f>
        <v>4896</v>
      </c>
      <c r="M70" s="1" t="str">
        <f>IF(ISNA(VLOOKUP(B70,'Leghe Fantacalcio'!A:I,2,FALSE)),"",VLOOKUP(B70,'Leghe Fantacalcio'!A:I,2,FALSE))</f>
        <v/>
      </c>
      <c r="N70" s="1">
        <f t="shared" si="6"/>
        <v>4896</v>
      </c>
      <c r="O70" s="1">
        <f>IFERROR(VLOOKUP(N70,'Leghe Fantacalcio'!B:I,8,FALSE),0)</f>
        <v>45</v>
      </c>
      <c r="P70" s="1" t="str">
        <f t="shared" si="7"/>
        <v>update giocatori set fvm = 45 where id = 1073082;</v>
      </c>
    </row>
    <row r="71" spans="1:16" x14ac:dyDescent="0.25">
      <c r="A71" s="1" t="str">
        <f t="shared" si="4"/>
        <v>MassolinCagliari</v>
      </c>
      <c r="B71" s="1" t="str">
        <f t="shared" si="5"/>
        <v>Massolin Y.Cagliari</v>
      </c>
      <c r="C71" s="1">
        <v>1113542</v>
      </c>
      <c r="D71" s="1" t="s">
        <v>445</v>
      </c>
      <c r="E71" s="1" t="s">
        <v>606</v>
      </c>
      <c r="F71" s="1" t="s">
        <v>20</v>
      </c>
      <c r="G71" s="1" t="s">
        <v>283</v>
      </c>
      <c r="H71" s="1">
        <v>6</v>
      </c>
      <c r="I71" s="1">
        <v>2</v>
      </c>
      <c r="J71" s="1" t="str">
        <f>VLOOKUP(A71,'Leghe Fantacalcio'!A:I,1,FALSE)</f>
        <v>MassolinCagliari</v>
      </c>
      <c r="K71" s="1" t="e">
        <f>VLOOKUP(B71,'Leghe Fantacalcio'!A:I,1,FALSE)</f>
        <v>#N/A</v>
      </c>
      <c r="L71" s="1">
        <f>IF(ISNA(VLOOKUP(A71,'Leghe Fantacalcio'!A:I,2,FALSE)),"",VLOOKUP(A71,'Leghe Fantacalcio'!A:I,2,FALSE))</f>
        <v>7579</v>
      </c>
      <c r="M71" s="1" t="str">
        <f>IF(ISNA(VLOOKUP(B71,'Leghe Fantacalcio'!A:I,2,FALSE)),"",VLOOKUP(B71,'Leghe Fantacalcio'!A:I,2,FALSE))</f>
        <v/>
      </c>
      <c r="N71" s="1">
        <f t="shared" si="6"/>
        <v>7579</v>
      </c>
      <c r="O71" s="1">
        <f>IFERROR(VLOOKUP(N71,'Leghe Fantacalcio'!B:I,8,FALSE),0)</f>
        <v>12</v>
      </c>
      <c r="P71" s="1" t="str">
        <f t="shared" si="7"/>
        <v>update giocatori set fvm = 12 where id = 1113542;</v>
      </c>
    </row>
    <row r="72" spans="1:16" ht="14.5" x14ac:dyDescent="0.35">
      <c r="A72" s="1" t="str">
        <f t="shared" si="4"/>
        <v>NzolaCagliari</v>
      </c>
      <c r="B72" s="1" t="str">
        <f t="shared" si="5"/>
        <v>Nzola Cagliari</v>
      </c>
      <c r="C72" s="1">
        <v>1064600</v>
      </c>
      <c r="D72" t="s">
        <v>556</v>
      </c>
      <c r="E72" s="1" t="s">
        <v>579</v>
      </c>
      <c r="F72" s="1" t="s">
        <v>20</v>
      </c>
      <c r="G72" s="1" t="s">
        <v>478</v>
      </c>
      <c r="H72" s="1">
        <v>6</v>
      </c>
      <c r="I72" s="1">
        <v>13</v>
      </c>
      <c r="J72" s="1" t="str">
        <f>VLOOKUP(A72,'Leghe Fantacalcio'!A:I,1,FALSE)</f>
        <v>NzolaCagliari</v>
      </c>
      <c r="K72" s="1" t="e">
        <f>VLOOKUP(B72,'Leghe Fantacalcio'!A:I,1,FALSE)</f>
        <v>#N/A</v>
      </c>
      <c r="L72" s="1">
        <f>IF(ISNA(VLOOKUP(A72,'Leghe Fantacalcio'!A:I,2,FALSE)),"",VLOOKUP(A72,'Leghe Fantacalcio'!A:I,2,FALSE))</f>
        <v>5336</v>
      </c>
      <c r="M72" s="1" t="str">
        <f>IF(ISNA(VLOOKUP(B72,'Leghe Fantacalcio'!A:I,2,FALSE)),"",VLOOKUP(B72,'Leghe Fantacalcio'!A:I,2,FALSE))</f>
        <v/>
      </c>
      <c r="N72" s="1">
        <f t="shared" si="6"/>
        <v>5336</v>
      </c>
      <c r="O72" s="1">
        <f>IFERROR(VLOOKUP(N72,'Leghe Fantacalcio'!B:I,8,FALSE),0)</f>
        <v>10</v>
      </c>
      <c r="P72" s="1" t="str">
        <f t="shared" si="7"/>
        <v>update giocatori set fvm = 10 where id = 1064600;</v>
      </c>
    </row>
    <row r="73" spans="1:16" x14ac:dyDescent="0.25">
      <c r="A73" s="1" t="str">
        <f t="shared" si="4"/>
        <v>MendyCagliari</v>
      </c>
      <c r="B73" s="1" t="str">
        <f t="shared" si="5"/>
        <v>Mendy P.Cagliari</v>
      </c>
      <c r="C73" s="1">
        <v>1120334</v>
      </c>
      <c r="D73" s="1" t="s">
        <v>680</v>
      </c>
      <c r="E73" s="1" t="s">
        <v>585</v>
      </c>
      <c r="F73" s="1" t="s">
        <v>20</v>
      </c>
      <c r="G73" s="1" t="s">
        <v>478</v>
      </c>
      <c r="H73" s="1">
        <v>6</v>
      </c>
      <c r="I73" s="1">
        <v>7</v>
      </c>
      <c r="J73" s="1" t="e">
        <f>VLOOKUP(A73,'Leghe Fantacalcio'!A:I,1,FALSE)</f>
        <v>#N/A</v>
      </c>
      <c r="K73" s="1" t="str">
        <f>VLOOKUP(B73,'Leghe Fantacalcio'!A:I,1,FALSE)</f>
        <v>Mendy P.Cagliari</v>
      </c>
      <c r="L73" s="1" t="str">
        <f>IF(ISNA(VLOOKUP(A73,'Leghe Fantacalcio'!A:I,2,FALSE)),"",VLOOKUP(A73,'Leghe Fantacalcio'!A:I,2,FALSE))</f>
        <v/>
      </c>
      <c r="M73" s="1">
        <f>IF(ISNA(VLOOKUP(B73,'Leghe Fantacalcio'!A:I,2,FALSE)),"",VLOOKUP(B73,'Leghe Fantacalcio'!A:I,2,FALSE))</f>
        <v>7374</v>
      </c>
      <c r="N73" s="1">
        <f t="shared" si="6"/>
        <v>7374</v>
      </c>
      <c r="O73" s="1">
        <f>IFERROR(VLOOKUP(N73,'Leghe Fantacalcio'!B:I,8,FALSE),0)</f>
        <v>20</v>
      </c>
      <c r="P73" s="1" t="str">
        <f t="shared" si="7"/>
        <v>update giocatori set fvm = 20 where id = 1120334;</v>
      </c>
    </row>
    <row r="74" spans="1:16" x14ac:dyDescent="0.25">
      <c r="A74" s="1" t="str">
        <f t="shared" si="4"/>
        <v>MinaCagliari</v>
      </c>
      <c r="B74" s="1" t="str">
        <f t="shared" si="5"/>
        <v>Mina Y.Cagliari</v>
      </c>
      <c r="C74" s="1">
        <v>1065667</v>
      </c>
      <c r="D74" s="1" t="s">
        <v>119</v>
      </c>
      <c r="E74" s="1" t="s">
        <v>606</v>
      </c>
      <c r="F74" s="1" t="s">
        <v>20</v>
      </c>
      <c r="G74" s="1" t="s">
        <v>92</v>
      </c>
      <c r="H74" s="1">
        <v>6</v>
      </c>
      <c r="I74" s="1">
        <v>9</v>
      </c>
      <c r="J74" s="1" t="str">
        <f>VLOOKUP(A74,'Leghe Fantacalcio'!A:I,1,FALSE)</f>
        <v>MinaCagliari</v>
      </c>
      <c r="K74" s="1" t="e">
        <f>VLOOKUP(B74,'Leghe Fantacalcio'!A:I,1,FALSE)</f>
        <v>#N/A</v>
      </c>
      <c r="L74" s="1">
        <f>IF(ISNA(VLOOKUP(A74,'Leghe Fantacalcio'!A:I,2,FALSE)),"",VLOOKUP(A74,'Leghe Fantacalcio'!A:I,2,FALSE))</f>
        <v>4210</v>
      </c>
      <c r="M74" s="1" t="str">
        <f>IF(ISNA(VLOOKUP(B74,'Leghe Fantacalcio'!A:I,2,FALSE)),"",VLOOKUP(B74,'Leghe Fantacalcio'!A:I,2,FALSE))</f>
        <v/>
      </c>
      <c r="N74" s="1">
        <f t="shared" si="6"/>
        <v>4210</v>
      </c>
      <c r="O74" s="1">
        <f>IFERROR(VLOOKUP(N74,'Leghe Fantacalcio'!B:I,8,FALSE),0)</f>
        <v>17</v>
      </c>
      <c r="P74" s="1" t="str">
        <f t="shared" si="7"/>
        <v>update giocatori set fvm = 17 where id = 1065667;</v>
      </c>
    </row>
    <row r="75" spans="1:16" x14ac:dyDescent="0.25">
      <c r="A75" s="1" t="str">
        <f t="shared" si="4"/>
        <v>ObertCagliari</v>
      </c>
      <c r="B75" s="1" t="str">
        <f t="shared" si="5"/>
        <v>Obert A.Cagliari</v>
      </c>
      <c r="C75" s="1">
        <v>1110625</v>
      </c>
      <c r="D75" s="1" t="s">
        <v>130</v>
      </c>
      <c r="E75" s="1" t="s">
        <v>584</v>
      </c>
      <c r="F75" s="1" t="s">
        <v>20</v>
      </c>
      <c r="G75" s="1" t="s">
        <v>92</v>
      </c>
      <c r="H75" s="1">
        <v>6</v>
      </c>
      <c r="I75" s="1">
        <v>9</v>
      </c>
      <c r="J75" s="1" t="str">
        <f>VLOOKUP(A75,'Leghe Fantacalcio'!A:I,1,FALSE)</f>
        <v>ObertCagliari</v>
      </c>
      <c r="K75" s="1" t="e">
        <f>VLOOKUP(B75,'Leghe Fantacalcio'!A:I,1,FALSE)</f>
        <v>#N/A</v>
      </c>
      <c r="L75" s="1">
        <f>IF(ISNA(VLOOKUP(A75,'Leghe Fantacalcio'!A:I,2,FALSE)),"",VLOOKUP(A75,'Leghe Fantacalcio'!A:I,2,FALSE))</f>
        <v>5701</v>
      </c>
      <c r="M75" s="1" t="str">
        <f>IF(ISNA(VLOOKUP(B75,'Leghe Fantacalcio'!A:I,2,FALSE)),"",VLOOKUP(B75,'Leghe Fantacalcio'!A:I,2,FALSE))</f>
        <v/>
      </c>
      <c r="N75" s="1">
        <f t="shared" si="6"/>
        <v>5701</v>
      </c>
      <c r="O75" s="1">
        <f>IFERROR(VLOOKUP(N75,'Leghe Fantacalcio'!B:I,8,FALSE),0)</f>
        <v>15</v>
      </c>
      <c r="P75" s="1" t="str">
        <f t="shared" si="7"/>
        <v>update giocatori set fvm = 15 where id = 1110625;</v>
      </c>
    </row>
    <row r="76" spans="1:16" x14ac:dyDescent="0.25">
      <c r="A76" s="1" t="str">
        <f t="shared" si="4"/>
        <v>RadunovicCagliari</v>
      </c>
      <c r="B76" s="1" t="str">
        <f t="shared" si="5"/>
        <v>Radunovic B.Cagliari</v>
      </c>
      <c r="C76" s="1">
        <v>1051808</v>
      </c>
      <c r="D76" s="1" t="s">
        <v>85</v>
      </c>
      <c r="E76" s="1" t="s">
        <v>597</v>
      </c>
      <c r="F76" s="1" t="s">
        <v>20</v>
      </c>
      <c r="G76" s="1" t="s">
        <v>8</v>
      </c>
      <c r="H76" s="1">
        <v>6</v>
      </c>
      <c r="I76" s="1">
        <v>1</v>
      </c>
      <c r="J76" s="1" t="str">
        <f>VLOOKUP(A76,'Leghe Fantacalcio'!A:I,1,FALSE)</f>
        <v>RadunovicCagliari</v>
      </c>
      <c r="K76" s="1" t="e">
        <f>VLOOKUP(B76,'Leghe Fantacalcio'!A:I,1,FALSE)</f>
        <v>#N/A</v>
      </c>
      <c r="L76" s="1">
        <f>IF(ISNA(VLOOKUP(A76,'Leghe Fantacalcio'!A:I,2,FALSE)),"",VLOOKUP(A76,'Leghe Fantacalcio'!A:I,2,FALSE))</f>
        <v>3</v>
      </c>
      <c r="M76" s="1" t="str">
        <f>IF(ISNA(VLOOKUP(B76,'Leghe Fantacalcio'!A:I,2,FALSE)),"",VLOOKUP(B76,'Leghe Fantacalcio'!A:I,2,FALSE))</f>
        <v/>
      </c>
      <c r="N76" s="1">
        <f t="shared" si="6"/>
        <v>3</v>
      </c>
      <c r="O76" s="1">
        <f>IFERROR(VLOOKUP(N76,'Leghe Fantacalcio'!B:I,8,FALSE),0)</f>
        <v>1</v>
      </c>
      <c r="P76" s="1" t="str">
        <f t="shared" si="7"/>
        <v>update giocatori set fvm = 1 where id = 1051808;</v>
      </c>
    </row>
    <row r="77" spans="1:16" ht="14.5" x14ac:dyDescent="0.35">
      <c r="A77" s="1" t="str">
        <f t="shared" si="4"/>
        <v>Rodriguez Ju.Cagliari</v>
      </c>
      <c r="B77" s="1" t="str">
        <f t="shared" si="5"/>
        <v>Rodriguez Ju. J.Cagliari</v>
      </c>
      <c r="C77" s="1">
        <v>1119654</v>
      </c>
      <c r="D77" t="s">
        <v>164</v>
      </c>
      <c r="E77" s="1" t="s">
        <v>571</v>
      </c>
      <c r="F77" s="1" t="s">
        <v>20</v>
      </c>
      <c r="G77" s="1" t="s">
        <v>92</v>
      </c>
      <c r="H77" s="1">
        <v>6</v>
      </c>
      <c r="I77" s="1">
        <v>8</v>
      </c>
      <c r="J77" s="1" t="str">
        <f>VLOOKUP(A77,'Leghe Fantacalcio'!A:I,1,FALSE)</f>
        <v>Rodriguez Ju.Cagliari</v>
      </c>
      <c r="K77" s="1" t="e">
        <f>VLOOKUP(B77,'Leghe Fantacalcio'!A:I,1,FALSE)</f>
        <v>#N/A</v>
      </c>
      <c r="L77" s="1">
        <f>IF(ISNA(VLOOKUP(A77,'Leghe Fantacalcio'!A:I,2,FALSE)),"",VLOOKUP(A77,'Leghe Fantacalcio'!A:I,2,FALSE))</f>
        <v>7268</v>
      </c>
      <c r="M77" s="1" t="str">
        <f>IF(ISNA(VLOOKUP(B77,'Leghe Fantacalcio'!A:I,2,FALSE)),"",VLOOKUP(B77,'Leghe Fantacalcio'!A:I,2,FALSE))</f>
        <v/>
      </c>
      <c r="N77" s="1">
        <f t="shared" si="6"/>
        <v>7268</v>
      </c>
      <c r="O77" s="1">
        <f>IFERROR(VLOOKUP(N77,'Leghe Fantacalcio'!B:I,8,FALSE),0)</f>
        <v>14</v>
      </c>
      <c r="P77" s="1" t="str">
        <f t="shared" si="7"/>
        <v>update giocatori set fvm = 14 where id = 1119654;</v>
      </c>
    </row>
    <row r="78" spans="1:16" x14ac:dyDescent="0.25">
      <c r="A78" s="1" t="str">
        <f t="shared" si="4"/>
        <v>RomanoCagliari</v>
      </c>
      <c r="B78" s="1" t="str">
        <f t="shared" si="5"/>
        <v>Romano A.Cagliari</v>
      </c>
      <c r="C78" s="1">
        <v>1119818</v>
      </c>
      <c r="D78" s="1" t="s">
        <v>330</v>
      </c>
      <c r="E78" s="1" t="s">
        <v>584</v>
      </c>
      <c r="F78" s="1" t="s">
        <v>20</v>
      </c>
      <c r="G78" s="1" t="s">
        <v>283</v>
      </c>
      <c r="H78" s="1">
        <v>6</v>
      </c>
      <c r="I78" s="1">
        <v>10</v>
      </c>
      <c r="J78" s="1" t="str">
        <f>VLOOKUP(A78,'Leghe Fantacalcio'!A:I,1,FALSE)</f>
        <v>RomanoCagliari</v>
      </c>
      <c r="K78" s="1" t="e">
        <f>VLOOKUP(B78,'Leghe Fantacalcio'!A:I,1,FALSE)</f>
        <v>#N/A</v>
      </c>
      <c r="L78" s="1">
        <f>IF(ISNA(VLOOKUP(A78,'Leghe Fantacalcio'!A:I,2,FALSE)),"",VLOOKUP(A78,'Leghe Fantacalcio'!A:I,2,FALSE))</f>
        <v>7311</v>
      </c>
      <c r="M78" s="1" t="str">
        <f>IF(ISNA(VLOOKUP(B78,'Leghe Fantacalcio'!A:I,2,FALSE)),"",VLOOKUP(B78,'Leghe Fantacalcio'!A:I,2,FALSE))</f>
        <v/>
      </c>
      <c r="N78" s="1">
        <f t="shared" si="6"/>
        <v>7311</v>
      </c>
      <c r="O78" s="1">
        <f>IFERROR(VLOOKUP(N78,'Leghe Fantacalcio'!B:I,8,FALSE),0)</f>
        <v>21</v>
      </c>
      <c r="P78" s="1" t="str">
        <f t="shared" si="7"/>
        <v>update giocatori set fvm = 21 where id = 1119818;</v>
      </c>
    </row>
    <row r="79" spans="1:16" x14ac:dyDescent="0.25">
      <c r="A79" s="1" t="str">
        <f t="shared" si="4"/>
        <v>SherriCagliari</v>
      </c>
      <c r="B79" s="1" t="str">
        <f t="shared" si="5"/>
        <v>Sherri A.Cagliari</v>
      </c>
      <c r="C79" s="1">
        <v>1099520</v>
      </c>
      <c r="D79" s="1" t="s">
        <v>56</v>
      </c>
      <c r="E79" s="1" t="s">
        <v>584</v>
      </c>
      <c r="F79" s="1" t="s">
        <v>20</v>
      </c>
      <c r="G79" s="1" t="s">
        <v>8</v>
      </c>
      <c r="H79" s="1">
        <v>6</v>
      </c>
      <c r="I79" s="1">
        <v>1</v>
      </c>
      <c r="J79" s="1" t="str">
        <f>VLOOKUP(A79,'Leghe Fantacalcio'!A:I,1,FALSE)</f>
        <v>SherriCagliari</v>
      </c>
      <c r="K79" s="1" t="e">
        <f>VLOOKUP(B79,'Leghe Fantacalcio'!A:I,1,FALSE)</f>
        <v>#N/A</v>
      </c>
      <c r="L79" s="1">
        <f>IF(ISNA(VLOOKUP(A79,'Leghe Fantacalcio'!A:I,2,FALSE)),"",VLOOKUP(A79,'Leghe Fantacalcio'!A:I,2,FALSE))</f>
        <v>6650</v>
      </c>
      <c r="M79" s="1" t="str">
        <f>IF(ISNA(VLOOKUP(B79,'Leghe Fantacalcio'!A:I,2,FALSE)),"",VLOOKUP(B79,'Leghe Fantacalcio'!A:I,2,FALSE))</f>
        <v/>
      </c>
      <c r="N79" s="1">
        <f t="shared" si="6"/>
        <v>6650</v>
      </c>
      <c r="O79" s="1">
        <f>IFERROR(VLOOKUP(N79,'Leghe Fantacalcio'!B:I,8,FALSE),0)</f>
        <v>1</v>
      </c>
      <c r="P79" s="1" t="str">
        <f t="shared" si="7"/>
        <v>update giocatori set fvm = 1 where id = 1099520;</v>
      </c>
    </row>
    <row r="80" spans="1:16" x14ac:dyDescent="0.25">
      <c r="A80" s="1" t="str">
        <f t="shared" si="4"/>
        <v>SugawaraCagliari</v>
      </c>
      <c r="B80" s="1" t="str">
        <f t="shared" si="5"/>
        <v>Sugawara Y.Cagliari</v>
      </c>
      <c r="C80" s="1">
        <v>1071550</v>
      </c>
      <c r="D80" s="1" t="s">
        <v>175</v>
      </c>
      <c r="E80" s="1" t="s">
        <v>606</v>
      </c>
      <c r="F80" s="1" t="s">
        <v>20</v>
      </c>
      <c r="G80" s="1" t="s">
        <v>92</v>
      </c>
      <c r="H80" s="1">
        <v>6</v>
      </c>
      <c r="I80" s="1">
        <v>8</v>
      </c>
      <c r="J80" s="1" t="str">
        <f>VLOOKUP(A80,'Leghe Fantacalcio'!A:I,1,FALSE)</f>
        <v>SugawaraCagliari</v>
      </c>
      <c r="K80" s="1" t="e">
        <f>VLOOKUP(B80,'Leghe Fantacalcio'!A:I,1,FALSE)</f>
        <v>#N/A</v>
      </c>
      <c r="L80" s="1">
        <f>IF(ISNA(VLOOKUP(A80,'Leghe Fantacalcio'!A:I,2,FALSE)),"",VLOOKUP(A80,'Leghe Fantacalcio'!A:I,2,FALSE))</f>
        <v>7621</v>
      </c>
      <c r="M80" s="1" t="str">
        <f>IF(ISNA(VLOOKUP(B80,'Leghe Fantacalcio'!A:I,2,FALSE)),"",VLOOKUP(B80,'Leghe Fantacalcio'!A:I,2,FALSE))</f>
        <v/>
      </c>
      <c r="N80" s="1">
        <f t="shared" si="6"/>
        <v>7621</v>
      </c>
      <c r="O80" s="1">
        <f>IFERROR(VLOOKUP(N80,'Leghe Fantacalcio'!B:I,8,FALSE),0)</f>
        <v>9</v>
      </c>
      <c r="P80" s="1" t="str">
        <f t="shared" si="7"/>
        <v>update giocatori set fvm = 9 where id = 1071550;</v>
      </c>
    </row>
    <row r="81" spans="1:16" x14ac:dyDescent="0.25">
      <c r="A81" s="1" t="str">
        <f t="shared" si="4"/>
        <v>TrepyCagliari</v>
      </c>
      <c r="B81" s="1" t="str">
        <f t="shared" si="5"/>
        <v>Trepy Y.Cagliari</v>
      </c>
      <c r="C81" s="1">
        <v>1119940</v>
      </c>
      <c r="D81" s="1" t="s">
        <v>561</v>
      </c>
      <c r="E81" s="1" t="s">
        <v>606</v>
      </c>
      <c r="F81" s="1" t="s">
        <v>20</v>
      </c>
      <c r="G81" s="1" t="s">
        <v>478</v>
      </c>
      <c r="H81" s="1">
        <v>6</v>
      </c>
      <c r="I81" s="1">
        <v>1</v>
      </c>
      <c r="J81" s="1" t="str">
        <f>VLOOKUP(A81,'Leghe Fantacalcio'!A:I,1,FALSE)</f>
        <v>TrepyCagliari</v>
      </c>
      <c r="K81" s="1" t="e">
        <f>VLOOKUP(B81,'Leghe Fantacalcio'!A:I,1,FALSE)</f>
        <v>#N/A</v>
      </c>
      <c r="L81" s="1">
        <f>IF(ISNA(VLOOKUP(A81,'Leghe Fantacalcio'!A:I,2,FALSE)),"",VLOOKUP(A81,'Leghe Fantacalcio'!A:I,2,FALSE))</f>
        <v>7317</v>
      </c>
      <c r="M81" s="1" t="str">
        <f>IF(ISNA(VLOOKUP(B81,'Leghe Fantacalcio'!A:I,2,FALSE)),"",VLOOKUP(B81,'Leghe Fantacalcio'!A:I,2,FALSE))</f>
        <v/>
      </c>
      <c r="N81" s="1">
        <f t="shared" si="6"/>
        <v>7317</v>
      </c>
      <c r="O81" s="1">
        <f>IFERROR(VLOOKUP(N81,'Leghe Fantacalcio'!B:I,8,FALSE),0)</f>
        <v>1</v>
      </c>
      <c r="P81" s="1" t="str">
        <f t="shared" si="7"/>
        <v>update giocatori set fvm = 1 where id = 1119940;</v>
      </c>
    </row>
    <row r="82" spans="1:16" x14ac:dyDescent="0.25">
      <c r="A82" s="1" t="str">
        <f t="shared" si="4"/>
        <v>WinksCagliari</v>
      </c>
      <c r="B82" s="1" t="str">
        <f t="shared" si="5"/>
        <v>Winks H.Cagliari</v>
      </c>
      <c r="C82" s="1">
        <v>1045103</v>
      </c>
      <c r="D82" s="1" t="s">
        <v>348</v>
      </c>
      <c r="E82" s="1" t="s">
        <v>620</v>
      </c>
      <c r="F82" s="1" t="s">
        <v>20</v>
      </c>
      <c r="G82" s="1" t="s">
        <v>283</v>
      </c>
      <c r="H82" s="1">
        <v>6</v>
      </c>
      <c r="I82" s="1">
        <v>13</v>
      </c>
      <c r="J82" s="1" t="str">
        <f>VLOOKUP(A82,'Leghe Fantacalcio'!A:I,1,FALSE)</f>
        <v>WinksCagliari</v>
      </c>
      <c r="K82" s="1" t="e">
        <f>VLOOKUP(B82,'Leghe Fantacalcio'!A:I,1,FALSE)</f>
        <v>#N/A</v>
      </c>
      <c r="L82" s="1">
        <f>IF(ISNA(VLOOKUP(A82,'Leghe Fantacalcio'!A:I,2,FALSE)),"",VLOOKUP(A82,'Leghe Fantacalcio'!A:I,2,FALSE))</f>
        <v>4260</v>
      </c>
      <c r="M82" s="1" t="str">
        <f>IF(ISNA(VLOOKUP(B82,'Leghe Fantacalcio'!A:I,2,FALSE)),"",VLOOKUP(B82,'Leghe Fantacalcio'!A:I,2,FALSE))</f>
        <v/>
      </c>
      <c r="N82" s="1">
        <f t="shared" si="6"/>
        <v>4260</v>
      </c>
      <c r="O82" s="1">
        <f>IFERROR(VLOOKUP(N82,'Leghe Fantacalcio'!B:I,8,FALSE),0)</f>
        <v>15</v>
      </c>
      <c r="P82" s="1" t="str">
        <f t="shared" si="7"/>
        <v>update giocatori set fvm = 15 where id = 1045103;</v>
      </c>
    </row>
    <row r="83" spans="1:16" ht="14.5" x14ac:dyDescent="0.35">
      <c r="A83" s="1" t="str">
        <f t="shared" si="4"/>
        <v>Zè PedroCagliari</v>
      </c>
      <c r="B83" s="1" t="str">
        <f t="shared" si="5"/>
        <v>Zè Pedro Cagliari</v>
      </c>
      <c r="C83" s="1">
        <v>1111845</v>
      </c>
      <c r="D83" t="s">
        <v>129</v>
      </c>
      <c r="E83" s="1" t="s">
        <v>579</v>
      </c>
      <c r="F83" s="1" t="s">
        <v>20</v>
      </c>
      <c r="G83" s="1" t="s">
        <v>92</v>
      </c>
      <c r="H83" s="1">
        <v>6</v>
      </c>
      <c r="I83" s="1">
        <v>8</v>
      </c>
      <c r="J83" s="1" t="str">
        <f>VLOOKUP(A83,'Leghe Fantacalcio'!A:I,1,FALSE)</f>
        <v>Zè PedroCagliari</v>
      </c>
      <c r="K83" s="1" t="e">
        <f>VLOOKUP(B83,'Leghe Fantacalcio'!A:I,1,FALSE)</f>
        <v>#N/A</v>
      </c>
      <c r="L83" s="1">
        <f>IF(ISNA(VLOOKUP(A83,'Leghe Fantacalcio'!A:I,2,FALSE)),"",VLOOKUP(A83,'Leghe Fantacalcio'!A:I,2,FALSE))</f>
        <v>7274</v>
      </c>
      <c r="M83" s="1" t="str">
        <f>IF(ISNA(VLOOKUP(B83,'Leghe Fantacalcio'!A:I,2,FALSE)),"",VLOOKUP(B83,'Leghe Fantacalcio'!A:I,2,FALSE))</f>
        <v/>
      </c>
      <c r="N83" s="1">
        <f t="shared" si="6"/>
        <v>7274</v>
      </c>
      <c r="O83" s="1">
        <f>IFERROR(VLOOKUP(N83,'Leghe Fantacalcio'!B:I,8,FALSE),0)</f>
        <v>15</v>
      </c>
      <c r="P83" s="1" t="str">
        <f t="shared" si="7"/>
        <v>update giocatori set fvm = 15 where id = 1111845;</v>
      </c>
    </row>
    <row r="84" spans="1:16" x14ac:dyDescent="0.25">
      <c r="A84" s="1" t="str">
        <f t="shared" si="4"/>
        <v>AddaiComo</v>
      </c>
      <c r="B84" s="1" t="str">
        <f t="shared" si="5"/>
        <v>Addai J.Como</v>
      </c>
      <c r="C84" s="1">
        <v>1119896</v>
      </c>
      <c r="D84" s="1" t="s">
        <v>412</v>
      </c>
      <c r="E84" s="1" t="s">
        <v>571</v>
      </c>
      <c r="F84" s="1" t="s">
        <v>22</v>
      </c>
      <c r="G84" s="1" t="s">
        <v>478</v>
      </c>
      <c r="H84" s="1">
        <v>6</v>
      </c>
      <c r="I84" s="1">
        <v>13</v>
      </c>
      <c r="J84" s="1" t="str">
        <f>VLOOKUP(A84,'Leghe Fantacalcio'!A:I,1,FALSE)</f>
        <v>AddaiComo</v>
      </c>
      <c r="K84" s="1" t="e">
        <f>VLOOKUP(B84,'Leghe Fantacalcio'!A:I,1,FALSE)</f>
        <v>#N/A</v>
      </c>
      <c r="L84" s="1">
        <f>IF(ISNA(VLOOKUP(A84,'Leghe Fantacalcio'!A:I,2,FALSE)),"",VLOOKUP(A84,'Leghe Fantacalcio'!A:I,2,FALSE))</f>
        <v>7127</v>
      </c>
      <c r="M84" s="1" t="str">
        <f>IF(ISNA(VLOOKUP(B84,'Leghe Fantacalcio'!A:I,2,FALSE)),"",VLOOKUP(B84,'Leghe Fantacalcio'!A:I,2,FALSE))</f>
        <v/>
      </c>
      <c r="N84" s="1">
        <f t="shared" si="6"/>
        <v>7127</v>
      </c>
      <c r="O84" s="1">
        <f>IFERROR(VLOOKUP(N84,'Leghe Fantacalcio'!B:I,8,FALSE),0)</f>
        <v>10</v>
      </c>
      <c r="P84" s="1" t="str">
        <f t="shared" si="7"/>
        <v>update giocatori set fvm = 10 where id = 1119896;</v>
      </c>
    </row>
    <row r="85" spans="1:16" x14ac:dyDescent="0.25">
      <c r="A85" s="1" t="str">
        <f t="shared" si="4"/>
        <v>ValleComo</v>
      </c>
      <c r="B85" s="1" t="str">
        <f t="shared" si="5"/>
        <v>Valle Como</v>
      </c>
      <c r="C85" s="1">
        <v>1115890</v>
      </c>
      <c r="D85" s="4" t="s">
        <v>131</v>
      </c>
      <c r="E85" s="1" t="s">
        <v>579</v>
      </c>
      <c r="F85" s="1" t="s">
        <v>22</v>
      </c>
      <c r="G85" s="1" t="s">
        <v>92</v>
      </c>
      <c r="H85" s="1">
        <v>6</v>
      </c>
      <c r="I85" s="1">
        <v>14</v>
      </c>
      <c r="J85" s="1" t="str">
        <f>VLOOKUP(A85,'Leghe Fantacalcio'!A:I,1,FALSE)</f>
        <v>ValleComo</v>
      </c>
      <c r="K85" s="1" t="e">
        <f>VLOOKUP(B85,'Leghe Fantacalcio'!A:I,1,FALSE)</f>
        <v>#N/A</v>
      </c>
      <c r="L85" s="1">
        <f>IF(ISNA(VLOOKUP(A85,'Leghe Fantacalcio'!A:I,2,FALSE)),"",VLOOKUP(A85,'Leghe Fantacalcio'!A:I,2,FALSE))</f>
        <v>6867</v>
      </c>
      <c r="M85" s="1" t="str">
        <f>IF(ISNA(VLOOKUP(B85,'Leghe Fantacalcio'!A:I,2,FALSE)),"",VLOOKUP(B85,'Leghe Fantacalcio'!A:I,2,FALSE))</f>
        <v/>
      </c>
      <c r="N85" s="1">
        <f t="shared" si="6"/>
        <v>6867</v>
      </c>
      <c r="O85" s="1">
        <f>IFERROR(VLOOKUP(N85,'Leghe Fantacalcio'!B:I,8,FALSE),0)</f>
        <v>20</v>
      </c>
      <c r="P85" s="1" t="str">
        <f t="shared" si="7"/>
        <v>update giocatori set fvm = 20 where id = 1115890;</v>
      </c>
    </row>
    <row r="86" spans="1:16" x14ac:dyDescent="0.25">
      <c r="A86" s="1" t="str">
        <f t="shared" si="4"/>
        <v>BaturinaComo</v>
      </c>
      <c r="B86" s="1" t="str">
        <f t="shared" si="5"/>
        <v>Baturina M.Como</v>
      </c>
      <c r="C86" s="1">
        <v>1103455</v>
      </c>
      <c r="D86" s="1" t="s">
        <v>290</v>
      </c>
      <c r="E86" s="1" t="s">
        <v>572</v>
      </c>
      <c r="F86" s="1" t="s">
        <v>22</v>
      </c>
      <c r="G86" s="1" t="s">
        <v>283</v>
      </c>
      <c r="H86" s="1">
        <v>6</v>
      </c>
      <c r="I86" s="1">
        <v>38</v>
      </c>
      <c r="J86" s="1" t="str">
        <f>VLOOKUP(A86,'Leghe Fantacalcio'!A:I,1,FALSE)</f>
        <v>BaturinaComo</v>
      </c>
      <c r="K86" s="1" t="e">
        <f>VLOOKUP(B86,'Leghe Fantacalcio'!A:I,1,FALSE)</f>
        <v>#N/A</v>
      </c>
      <c r="L86" s="1">
        <f>IF(ISNA(VLOOKUP(A86,'Leghe Fantacalcio'!A:I,2,FALSE)),"",VLOOKUP(A86,'Leghe Fantacalcio'!A:I,2,FALSE))</f>
        <v>7126</v>
      </c>
      <c r="M86" s="1" t="str">
        <f>IF(ISNA(VLOOKUP(B86,'Leghe Fantacalcio'!A:I,2,FALSE)),"",VLOOKUP(B86,'Leghe Fantacalcio'!A:I,2,FALSE))</f>
        <v/>
      </c>
      <c r="N86" s="1">
        <f t="shared" si="6"/>
        <v>7126</v>
      </c>
      <c r="O86" s="1">
        <f>IFERROR(VLOOKUP(N86,'Leghe Fantacalcio'!B:I,8,FALSE),0)</f>
        <v>153</v>
      </c>
      <c r="P86" s="1" t="str">
        <f t="shared" si="7"/>
        <v>update giocatori set fvm = 153 where id = 1103455;</v>
      </c>
    </row>
    <row r="87" spans="1:16" x14ac:dyDescent="0.25">
      <c r="A87" s="1" t="str">
        <f t="shared" si="4"/>
        <v>ButezComo</v>
      </c>
      <c r="B87" s="1" t="str">
        <f t="shared" si="5"/>
        <v>Butez J.Como</v>
      </c>
      <c r="C87" s="1">
        <v>1098983</v>
      </c>
      <c r="D87" s="1" t="s">
        <v>21</v>
      </c>
      <c r="E87" s="1" t="s">
        <v>571</v>
      </c>
      <c r="F87" s="1" t="s">
        <v>22</v>
      </c>
      <c r="G87" s="1" t="s">
        <v>8</v>
      </c>
      <c r="H87" s="1">
        <v>6</v>
      </c>
      <c r="I87" s="1">
        <v>15</v>
      </c>
      <c r="J87" s="1" t="str">
        <f>VLOOKUP(A87,'Leghe Fantacalcio'!A:I,1,FALSE)</f>
        <v>ButezComo</v>
      </c>
      <c r="K87" s="1" t="e">
        <f>VLOOKUP(B87,'Leghe Fantacalcio'!A:I,1,FALSE)</f>
        <v>#N/A</v>
      </c>
      <c r="L87" s="1">
        <f>IF(ISNA(VLOOKUP(A87,'Leghe Fantacalcio'!A:I,2,FALSE)),"",VLOOKUP(A87,'Leghe Fantacalcio'!A:I,2,FALSE))</f>
        <v>6966</v>
      </c>
      <c r="M87" s="1" t="str">
        <f>IF(ISNA(VLOOKUP(B87,'Leghe Fantacalcio'!A:I,2,FALSE)),"",VLOOKUP(B87,'Leghe Fantacalcio'!A:I,2,FALSE))</f>
        <v/>
      </c>
      <c r="N87" s="1">
        <f t="shared" si="6"/>
        <v>6966</v>
      </c>
      <c r="O87" s="1">
        <f>IFERROR(VLOOKUP(N87,'Leghe Fantacalcio'!B:I,8,FALSE),0)</f>
        <v>43</v>
      </c>
      <c r="P87" s="1" t="str">
        <f t="shared" si="7"/>
        <v>update giocatori set fvm = 43 where id = 1098983;</v>
      </c>
    </row>
    <row r="88" spans="1:16" x14ac:dyDescent="0.25">
      <c r="A88" s="1" t="str">
        <f t="shared" si="4"/>
        <v>CaqueretComo</v>
      </c>
      <c r="B88" s="1" t="str">
        <f t="shared" si="5"/>
        <v>Caqueret M.Como</v>
      </c>
      <c r="C88" s="1">
        <v>1069380</v>
      </c>
      <c r="D88" s="1" t="s">
        <v>380</v>
      </c>
      <c r="E88" s="1" t="s">
        <v>572</v>
      </c>
      <c r="F88" s="1" t="s">
        <v>22</v>
      </c>
      <c r="G88" s="1" t="s">
        <v>283</v>
      </c>
      <c r="H88" s="1">
        <v>6</v>
      </c>
      <c r="I88" s="1">
        <v>28</v>
      </c>
      <c r="J88" s="1" t="str">
        <f>VLOOKUP(A88,'Leghe Fantacalcio'!A:I,1,FALSE)</f>
        <v>CaqueretComo</v>
      </c>
      <c r="K88" s="1" t="e">
        <f>VLOOKUP(B88,'Leghe Fantacalcio'!A:I,1,FALSE)</f>
        <v>#N/A</v>
      </c>
      <c r="L88" s="1">
        <f>IF(ISNA(VLOOKUP(A88,'Leghe Fantacalcio'!A:I,2,FALSE)),"",VLOOKUP(A88,'Leghe Fantacalcio'!A:I,2,FALSE))</f>
        <v>5036</v>
      </c>
      <c r="M88" s="1" t="str">
        <f>IF(ISNA(VLOOKUP(B88,'Leghe Fantacalcio'!A:I,2,FALSE)),"",VLOOKUP(B88,'Leghe Fantacalcio'!A:I,2,FALSE))</f>
        <v/>
      </c>
      <c r="N88" s="1">
        <f t="shared" si="6"/>
        <v>5036</v>
      </c>
      <c r="O88" s="1">
        <f>IFERROR(VLOOKUP(N88,'Leghe Fantacalcio'!B:I,8,FALSE),0)</f>
        <v>11</v>
      </c>
      <c r="P88" s="1" t="str">
        <f t="shared" si="7"/>
        <v>update giocatori set fvm = 11 where id = 1069380;</v>
      </c>
    </row>
    <row r="89" spans="1:16" x14ac:dyDescent="0.25">
      <c r="A89" s="1" t="str">
        <f t="shared" si="4"/>
        <v>ChalobahComo</v>
      </c>
      <c r="B89" s="1" t="str">
        <f t="shared" si="5"/>
        <v>Chalobah T.Como</v>
      </c>
      <c r="C89" s="1">
        <v>1095318</v>
      </c>
      <c r="D89" s="1" t="s">
        <v>611</v>
      </c>
      <c r="E89" s="1" t="s">
        <v>599</v>
      </c>
      <c r="F89" s="1" t="s">
        <v>22</v>
      </c>
      <c r="G89" s="1" t="s">
        <v>92</v>
      </c>
      <c r="H89" s="1">
        <v>6</v>
      </c>
      <c r="I89" s="1">
        <v>15</v>
      </c>
      <c r="J89" s="1" t="e">
        <f>VLOOKUP(A89,'Leghe Fantacalcio'!A:I,1,FALSE)</f>
        <v>#N/A</v>
      </c>
      <c r="K89" s="1" t="str">
        <f>VLOOKUP(B89,'Leghe Fantacalcio'!A:I,1,FALSE)</f>
        <v>Chalobah T.Como</v>
      </c>
      <c r="L89" s="1" t="str">
        <f>IF(ISNA(VLOOKUP(A89,'Leghe Fantacalcio'!A:I,2,FALSE)),"",VLOOKUP(A89,'Leghe Fantacalcio'!A:I,2,FALSE))</f>
        <v/>
      </c>
      <c r="M89" s="1">
        <f>IF(ISNA(VLOOKUP(B89,'Leghe Fantacalcio'!A:I,2,FALSE)),"",VLOOKUP(B89,'Leghe Fantacalcio'!A:I,2,FALSE))</f>
        <v>5641</v>
      </c>
      <c r="N89" s="1">
        <f t="shared" si="6"/>
        <v>5641</v>
      </c>
      <c r="O89" s="1">
        <f>IFERROR(VLOOKUP(N89,'Leghe Fantacalcio'!B:I,8,FALSE),0)</f>
        <v>25</v>
      </c>
      <c r="P89" s="1" t="str">
        <f t="shared" si="7"/>
        <v>update giocatori set fvm = 25 where id = 1095318;</v>
      </c>
    </row>
    <row r="90" spans="1:16" x14ac:dyDescent="0.25">
      <c r="A90" s="1" t="str">
        <f t="shared" si="4"/>
        <v>da CunhaComo</v>
      </c>
      <c r="B90" s="1" t="str">
        <f t="shared" si="5"/>
        <v>da Cunha L.Como</v>
      </c>
      <c r="C90" s="1">
        <v>1073202</v>
      </c>
      <c r="D90" s="1" t="s">
        <v>640</v>
      </c>
      <c r="E90" s="1" t="s">
        <v>590</v>
      </c>
      <c r="F90" s="1" t="s">
        <v>22</v>
      </c>
      <c r="G90" s="1" t="s">
        <v>283</v>
      </c>
      <c r="H90" s="1">
        <v>6</v>
      </c>
      <c r="I90" s="1">
        <v>34</v>
      </c>
      <c r="J90" s="1" t="str">
        <f>VLOOKUP(A90,'Leghe Fantacalcio'!A:I,1,FALSE)</f>
        <v>Da CunhaComo</v>
      </c>
      <c r="K90" s="1" t="e">
        <f>VLOOKUP(B90,'Leghe Fantacalcio'!A:I,1,FALSE)</f>
        <v>#N/A</v>
      </c>
      <c r="L90" s="1">
        <f>IF(ISNA(VLOOKUP(A90,'Leghe Fantacalcio'!A:I,2,FALSE)),"",VLOOKUP(A90,'Leghe Fantacalcio'!A:I,2,FALSE))</f>
        <v>5559</v>
      </c>
      <c r="M90" s="1" t="str">
        <f>IF(ISNA(VLOOKUP(B90,'Leghe Fantacalcio'!A:I,2,FALSE)),"",VLOOKUP(B90,'Leghe Fantacalcio'!A:I,2,FALSE))</f>
        <v/>
      </c>
      <c r="N90" s="1">
        <f t="shared" si="6"/>
        <v>5559</v>
      </c>
      <c r="O90" s="1">
        <f>IFERROR(VLOOKUP(N90,'Leghe Fantacalcio'!B:I,8,FALSE),0)</f>
        <v>69</v>
      </c>
      <c r="P90" s="1" t="str">
        <f t="shared" si="7"/>
        <v>update giocatori set fvm = 69 where id = 1073202;</v>
      </c>
    </row>
    <row r="91" spans="1:16" x14ac:dyDescent="0.25">
      <c r="A91" s="1" t="str">
        <f t="shared" si="4"/>
        <v>DiaoComo</v>
      </c>
      <c r="B91" s="1" t="str">
        <f t="shared" si="5"/>
        <v>Diao A.Como</v>
      </c>
      <c r="C91" s="1">
        <v>1118419</v>
      </c>
      <c r="D91" s="1" t="s">
        <v>502</v>
      </c>
      <c r="E91" s="1" t="s">
        <v>584</v>
      </c>
      <c r="F91" s="1" t="s">
        <v>22</v>
      </c>
      <c r="G91" s="1" t="s">
        <v>478</v>
      </c>
      <c r="H91" s="1">
        <v>6</v>
      </c>
      <c r="I91" s="1">
        <v>31</v>
      </c>
      <c r="J91" s="1" t="str">
        <f>VLOOKUP(A91,'Leghe Fantacalcio'!A:I,1,FALSE)</f>
        <v>DiaoComo</v>
      </c>
      <c r="K91" s="1" t="e">
        <f>VLOOKUP(B91,'Leghe Fantacalcio'!A:I,1,FALSE)</f>
        <v>#N/A</v>
      </c>
      <c r="L91" s="1">
        <f>IF(ISNA(VLOOKUP(A91,'Leghe Fantacalcio'!A:I,2,FALSE)),"",VLOOKUP(A91,'Leghe Fantacalcio'!A:I,2,FALSE))</f>
        <v>6967</v>
      </c>
      <c r="M91" s="1" t="str">
        <f>IF(ISNA(VLOOKUP(B91,'Leghe Fantacalcio'!A:I,2,FALSE)),"",VLOOKUP(B91,'Leghe Fantacalcio'!A:I,2,FALSE))</f>
        <v/>
      </c>
      <c r="N91" s="1">
        <f t="shared" si="6"/>
        <v>6967</v>
      </c>
      <c r="O91" s="1">
        <f>IFERROR(VLOOKUP(N91,'Leghe Fantacalcio'!B:I,8,FALSE),0)</f>
        <v>67</v>
      </c>
      <c r="P91" s="1" t="str">
        <f t="shared" si="7"/>
        <v>update giocatori set fvm = 67 where id = 1118419;</v>
      </c>
    </row>
    <row r="92" spans="1:16" x14ac:dyDescent="0.25">
      <c r="A92" s="1" t="str">
        <f t="shared" si="4"/>
        <v>DossenaComo</v>
      </c>
      <c r="B92" s="1" t="str">
        <f t="shared" si="5"/>
        <v>Dossena A.Como</v>
      </c>
      <c r="C92" s="1">
        <v>1115277</v>
      </c>
      <c r="D92" s="1" t="s">
        <v>614</v>
      </c>
      <c r="E92" s="1" t="s">
        <v>584</v>
      </c>
      <c r="F92" s="1" t="s">
        <v>22</v>
      </c>
      <c r="G92" s="1" t="s">
        <v>92</v>
      </c>
      <c r="H92" s="1">
        <v>6</v>
      </c>
      <c r="I92" s="1">
        <v>2</v>
      </c>
      <c r="J92" s="1" t="e">
        <f>VLOOKUP(A92,'Leghe Fantacalcio'!A:I,1,FALSE)</f>
        <v>#N/A</v>
      </c>
      <c r="K92" s="1" t="e">
        <f>VLOOKUP(B92,'Leghe Fantacalcio'!A:I,1,FALSE)</f>
        <v>#N/A</v>
      </c>
      <c r="L92" s="1" t="str">
        <f>IF(ISNA(VLOOKUP(A92,'Leghe Fantacalcio'!A:I,2,FALSE)),"",VLOOKUP(A92,'Leghe Fantacalcio'!A:I,2,FALSE))</f>
        <v/>
      </c>
      <c r="M92" s="1" t="str">
        <f>IF(ISNA(VLOOKUP(B92,'Leghe Fantacalcio'!A:I,2,FALSE)),"",VLOOKUP(B92,'Leghe Fantacalcio'!A:I,2,FALSE))</f>
        <v/>
      </c>
      <c r="N92" s="1" t="str">
        <f t="shared" si="6"/>
        <v/>
      </c>
      <c r="O92" s="1">
        <f>IFERROR(VLOOKUP(N92,'Leghe Fantacalcio'!B:I,8,FALSE),0)</f>
        <v>0</v>
      </c>
      <c r="P92" s="1" t="str">
        <f t="shared" si="7"/>
        <v>update giocatori set fvm = 0 where id = 1115277;</v>
      </c>
    </row>
    <row r="93" spans="1:16" x14ac:dyDescent="0.25">
      <c r="A93" s="1" t="str">
        <f t="shared" si="4"/>
        <v>DouvikasComo</v>
      </c>
      <c r="B93" s="1" t="str">
        <f t="shared" si="5"/>
        <v>Douvikas T.Como</v>
      </c>
      <c r="C93" s="1">
        <v>1118290</v>
      </c>
      <c r="D93" s="1" t="s">
        <v>486</v>
      </c>
      <c r="E93" s="1" t="s">
        <v>599</v>
      </c>
      <c r="F93" s="1" t="s">
        <v>22</v>
      </c>
      <c r="G93" s="1" t="s">
        <v>478</v>
      </c>
      <c r="H93" s="1">
        <v>6</v>
      </c>
      <c r="I93" s="1">
        <v>48</v>
      </c>
      <c r="J93" s="1" t="str">
        <f>VLOOKUP(A93,'Leghe Fantacalcio'!A:I,1,FALSE)</f>
        <v>DouvikasComo</v>
      </c>
      <c r="K93" s="1" t="e">
        <f>VLOOKUP(B93,'Leghe Fantacalcio'!A:I,1,FALSE)</f>
        <v>#N/A</v>
      </c>
      <c r="L93" s="1">
        <f>IF(ISNA(VLOOKUP(A93,'Leghe Fantacalcio'!A:I,2,FALSE)),"",VLOOKUP(A93,'Leghe Fantacalcio'!A:I,2,FALSE))</f>
        <v>7017</v>
      </c>
      <c r="M93" s="1" t="str">
        <f>IF(ISNA(VLOOKUP(B93,'Leghe Fantacalcio'!A:I,2,FALSE)),"",VLOOKUP(B93,'Leghe Fantacalcio'!A:I,2,FALSE))</f>
        <v/>
      </c>
      <c r="N93" s="1">
        <f t="shared" si="6"/>
        <v>7017</v>
      </c>
      <c r="O93" s="1">
        <f>IFERROR(VLOOKUP(N93,'Leghe Fantacalcio'!B:I,8,FALSE),0)</f>
        <v>138</v>
      </c>
      <c r="P93" s="1" t="str">
        <f t="shared" si="7"/>
        <v>update giocatori set fvm = 138 where id = 1118290;</v>
      </c>
    </row>
    <row r="94" spans="1:16" x14ac:dyDescent="0.25">
      <c r="A94" s="1" t="str">
        <f t="shared" si="4"/>
        <v>GoldanigaComo</v>
      </c>
      <c r="B94" s="1" t="str">
        <f t="shared" si="5"/>
        <v>Goldaniga E.Como</v>
      </c>
      <c r="C94" s="1">
        <v>1039172</v>
      </c>
      <c r="D94" s="1" t="s">
        <v>257</v>
      </c>
      <c r="E94" s="1" t="s">
        <v>573</v>
      </c>
      <c r="F94" s="1" t="s">
        <v>22</v>
      </c>
      <c r="G94" s="1" t="s">
        <v>92</v>
      </c>
      <c r="H94" s="1">
        <v>6</v>
      </c>
      <c r="I94" s="1">
        <v>2</v>
      </c>
      <c r="J94" s="1" t="str">
        <f>VLOOKUP(A94,'Leghe Fantacalcio'!A:I,1,FALSE)</f>
        <v>GoldanigaComo</v>
      </c>
      <c r="K94" s="1" t="e">
        <f>VLOOKUP(B94,'Leghe Fantacalcio'!A:I,1,FALSE)</f>
        <v>#N/A</v>
      </c>
      <c r="L94" s="1">
        <f>IF(ISNA(VLOOKUP(A94,'Leghe Fantacalcio'!A:I,2,FALSE)),"",VLOOKUP(A94,'Leghe Fantacalcio'!A:I,2,FALSE))</f>
        <v>418</v>
      </c>
      <c r="M94" s="1" t="str">
        <f>IF(ISNA(VLOOKUP(B94,'Leghe Fantacalcio'!A:I,2,FALSE)),"",VLOOKUP(B94,'Leghe Fantacalcio'!A:I,2,FALSE))</f>
        <v/>
      </c>
      <c r="N94" s="1">
        <f t="shared" si="6"/>
        <v>418</v>
      </c>
      <c r="O94" s="1">
        <f>IFERROR(VLOOKUP(N94,'Leghe Fantacalcio'!B:I,8,FALSE),0)</f>
        <v>1</v>
      </c>
      <c r="P94" s="1" t="str">
        <f t="shared" si="7"/>
        <v>update giocatori set fvm = 1 where id = 1039172;</v>
      </c>
    </row>
    <row r="95" spans="1:16" x14ac:dyDescent="0.25">
      <c r="A95" s="1" t="str">
        <f t="shared" si="4"/>
        <v>RamonComo</v>
      </c>
      <c r="B95" s="1" t="str">
        <f t="shared" si="5"/>
        <v>Ramon Como</v>
      </c>
      <c r="C95" s="1">
        <v>1119152</v>
      </c>
      <c r="D95" s="4" t="s">
        <v>105</v>
      </c>
      <c r="E95" s="1" t="s">
        <v>579</v>
      </c>
      <c r="F95" s="1" t="s">
        <v>22</v>
      </c>
      <c r="G95" s="1" t="s">
        <v>92</v>
      </c>
      <c r="H95" s="1">
        <v>6</v>
      </c>
      <c r="I95" s="1">
        <v>16</v>
      </c>
      <c r="J95" s="1" t="str">
        <f>VLOOKUP(A95,'Leghe Fantacalcio'!A:I,1,FALSE)</f>
        <v>RamonComo</v>
      </c>
      <c r="K95" s="1" t="e">
        <f>VLOOKUP(B95,'Leghe Fantacalcio'!A:I,1,FALSE)</f>
        <v>#N/A</v>
      </c>
      <c r="L95" s="1">
        <f>IF(ISNA(VLOOKUP(A95,'Leghe Fantacalcio'!A:I,2,FALSE)),"",VLOOKUP(A95,'Leghe Fantacalcio'!A:I,2,FALSE))</f>
        <v>6869</v>
      </c>
      <c r="M95" s="1" t="str">
        <f>IF(ISNA(VLOOKUP(B95,'Leghe Fantacalcio'!A:I,2,FALSE)),"",VLOOKUP(B95,'Leghe Fantacalcio'!A:I,2,FALSE))</f>
        <v/>
      </c>
      <c r="N95" s="1">
        <f t="shared" si="6"/>
        <v>6869</v>
      </c>
      <c r="O95" s="1">
        <f>IFERROR(VLOOKUP(N95,'Leghe Fantacalcio'!B:I,8,FALSE),0)</f>
        <v>34</v>
      </c>
      <c r="P95" s="1" t="str">
        <f t="shared" si="7"/>
        <v>update giocatori set fvm = 34 where id = 1119152;</v>
      </c>
    </row>
    <row r="96" spans="1:16" ht="14.5" x14ac:dyDescent="0.35">
      <c r="A96" s="1" t="str">
        <f t="shared" si="4"/>
        <v>Rodriguez Je.Como</v>
      </c>
      <c r="B96" s="1" t="str">
        <f t="shared" si="5"/>
        <v>Rodriguez Je. Como</v>
      </c>
      <c r="C96" s="1">
        <v>1119895</v>
      </c>
      <c r="D96" t="s">
        <v>316</v>
      </c>
      <c r="E96" s="1" t="s">
        <v>579</v>
      </c>
      <c r="F96" s="1" t="s">
        <v>22</v>
      </c>
      <c r="G96" s="1" t="s">
        <v>478</v>
      </c>
      <c r="H96" s="1">
        <v>6</v>
      </c>
      <c r="I96" s="1">
        <v>28</v>
      </c>
      <c r="J96" s="1" t="str">
        <f>VLOOKUP(A96,'Leghe Fantacalcio'!A:I,1,FALSE)</f>
        <v>Rodriguez Je.Como</v>
      </c>
      <c r="K96" s="1" t="e">
        <f>VLOOKUP(B96,'Leghe Fantacalcio'!A:I,1,FALSE)</f>
        <v>#N/A</v>
      </c>
      <c r="L96" s="1">
        <f>IF(ISNA(VLOOKUP(A96,'Leghe Fantacalcio'!A:I,2,FALSE)),"",VLOOKUP(A96,'Leghe Fantacalcio'!A:I,2,FALSE))</f>
        <v>7129</v>
      </c>
      <c r="M96" s="1" t="str">
        <f>IF(ISNA(VLOOKUP(B96,'Leghe Fantacalcio'!A:I,2,FALSE)),"",VLOOKUP(B96,'Leghe Fantacalcio'!A:I,2,FALSE))</f>
        <v/>
      </c>
      <c r="N96" s="1">
        <f t="shared" si="6"/>
        <v>7129</v>
      </c>
      <c r="O96" s="1">
        <f>IFERROR(VLOOKUP(N96,'Leghe Fantacalcio'!B:I,8,FALSE),0)</f>
        <v>23</v>
      </c>
      <c r="P96" s="1" t="str">
        <f t="shared" si="7"/>
        <v>update giocatori set fvm = 23 where id = 1119895;</v>
      </c>
    </row>
    <row r="97" spans="1:16" x14ac:dyDescent="0.25">
      <c r="A97" s="1" t="str">
        <f t="shared" si="4"/>
        <v>KaikiComo</v>
      </c>
      <c r="B97" s="1" t="str">
        <f t="shared" si="5"/>
        <v>Kaiki Como</v>
      </c>
      <c r="C97" s="1">
        <v>1120438</v>
      </c>
      <c r="D97" s="1" t="s">
        <v>120</v>
      </c>
      <c r="E97" s="1" t="s">
        <v>579</v>
      </c>
      <c r="F97" s="1" t="s">
        <v>22</v>
      </c>
      <c r="G97" s="1" t="s">
        <v>92</v>
      </c>
      <c r="H97" s="1">
        <v>6</v>
      </c>
      <c r="I97" s="1">
        <v>11</v>
      </c>
      <c r="J97" s="1" t="str">
        <f>VLOOKUP(A97,'Leghe Fantacalcio'!A:I,1,FALSE)</f>
        <v>KaikiComo</v>
      </c>
      <c r="K97" s="1" t="e">
        <f>VLOOKUP(B97,'Leghe Fantacalcio'!A:I,1,FALSE)</f>
        <v>#N/A</v>
      </c>
      <c r="L97" s="1">
        <f>IF(ISNA(VLOOKUP(A97,'Leghe Fantacalcio'!A:I,2,FALSE)),"",VLOOKUP(A97,'Leghe Fantacalcio'!A:I,2,FALSE))</f>
        <v>7414</v>
      </c>
      <c r="M97" s="1" t="str">
        <f>IF(ISNA(VLOOKUP(B97,'Leghe Fantacalcio'!A:I,2,FALSE)),"",VLOOKUP(B97,'Leghe Fantacalcio'!A:I,2,FALSE))</f>
        <v/>
      </c>
      <c r="N97" s="1">
        <f t="shared" si="6"/>
        <v>7414</v>
      </c>
      <c r="O97" s="1">
        <f>IFERROR(VLOOKUP(N97,'Leghe Fantacalcio'!B:I,8,FALSE),0)</f>
        <v>17</v>
      </c>
      <c r="P97" s="1" t="str">
        <f t="shared" si="7"/>
        <v>update giocatori set fvm = 17 where id = 1120438;</v>
      </c>
    </row>
    <row r="98" spans="1:16" x14ac:dyDescent="0.25">
      <c r="A98" s="1" t="str">
        <f t="shared" si="4"/>
        <v>KambwalaComo</v>
      </c>
      <c r="B98" s="1" t="str">
        <f t="shared" si="5"/>
        <v>Kambwala W.Como</v>
      </c>
      <c r="C98" s="1">
        <v>1118863</v>
      </c>
      <c r="D98" s="1" t="s">
        <v>254</v>
      </c>
      <c r="E98" s="1" t="s">
        <v>582</v>
      </c>
      <c r="F98" s="1" t="s">
        <v>22</v>
      </c>
      <c r="G98" s="1" t="s">
        <v>92</v>
      </c>
      <c r="H98" s="1">
        <v>6</v>
      </c>
      <c r="I98" s="1">
        <v>14</v>
      </c>
      <c r="J98" s="1" t="str">
        <f>VLOOKUP(A98,'Leghe Fantacalcio'!A:I,1,FALSE)</f>
        <v>KambwalaComo</v>
      </c>
      <c r="K98" s="1" t="e">
        <f>VLOOKUP(B98,'Leghe Fantacalcio'!A:I,1,FALSE)</f>
        <v>#N/A</v>
      </c>
      <c r="L98" s="1">
        <f>IF(ISNA(VLOOKUP(A98,'Leghe Fantacalcio'!A:I,2,FALSE)),"",VLOOKUP(A98,'Leghe Fantacalcio'!A:I,2,FALSE))</f>
        <v>6601</v>
      </c>
      <c r="M98" s="1" t="str">
        <f>IF(ISNA(VLOOKUP(B98,'Leghe Fantacalcio'!A:I,2,FALSE)),"",VLOOKUP(B98,'Leghe Fantacalcio'!A:I,2,FALSE))</f>
        <v/>
      </c>
      <c r="N98" s="1">
        <f t="shared" si="6"/>
        <v>6601</v>
      </c>
      <c r="O98" s="1">
        <f>IFERROR(VLOOKUP(N98,'Leghe Fantacalcio'!B:I,8,FALSE),0)</f>
        <v>5</v>
      </c>
      <c r="P98" s="1" t="str">
        <f t="shared" si="7"/>
        <v>update giocatori set fvm = 5 where id = 1118863;</v>
      </c>
    </row>
    <row r="99" spans="1:16" x14ac:dyDescent="0.25">
      <c r="A99" s="1" t="str">
        <f t="shared" si="4"/>
        <v>KeanComo</v>
      </c>
      <c r="B99" s="1" t="str">
        <f t="shared" si="5"/>
        <v>Kean M.Como</v>
      </c>
      <c r="C99" s="1">
        <v>1061229</v>
      </c>
      <c r="D99" s="1" t="s">
        <v>484</v>
      </c>
      <c r="E99" s="1" t="s">
        <v>572</v>
      </c>
      <c r="F99" s="1" t="s">
        <v>22</v>
      </c>
      <c r="G99" s="1" t="s">
        <v>478</v>
      </c>
      <c r="H99" s="1">
        <v>6</v>
      </c>
      <c r="I99" s="1">
        <v>45</v>
      </c>
      <c r="J99" s="1" t="str">
        <f>VLOOKUP(A99,'Leghe Fantacalcio'!A:I,1,FALSE)</f>
        <v>KeanComo</v>
      </c>
      <c r="K99" s="1" t="e">
        <f>VLOOKUP(B99,'Leghe Fantacalcio'!A:I,1,FALSE)</f>
        <v>#N/A</v>
      </c>
      <c r="L99" s="1">
        <f>IF(ISNA(VLOOKUP(A99,'Leghe Fantacalcio'!A:I,2,FALSE)),"",VLOOKUP(A99,'Leghe Fantacalcio'!A:I,2,FALSE))</f>
        <v>2097</v>
      </c>
      <c r="M99" s="1" t="str">
        <f>IF(ISNA(VLOOKUP(B99,'Leghe Fantacalcio'!A:I,2,FALSE)),"",VLOOKUP(B99,'Leghe Fantacalcio'!A:I,2,FALSE))</f>
        <v/>
      </c>
      <c r="N99" s="1">
        <f t="shared" si="6"/>
        <v>2097</v>
      </c>
      <c r="O99" s="1">
        <f>IFERROR(VLOOKUP(N99,'Leghe Fantacalcio'!B:I,8,FALSE),0)</f>
        <v>138</v>
      </c>
      <c r="P99" s="1" t="str">
        <f t="shared" si="7"/>
        <v>update giocatori set fvm = 138 where id = 1061229;</v>
      </c>
    </row>
    <row r="100" spans="1:16" x14ac:dyDescent="0.25">
      <c r="A100" s="1" t="str">
        <f t="shared" si="4"/>
        <v>KempfComo</v>
      </c>
      <c r="B100" s="1" t="str">
        <f t="shared" si="5"/>
        <v>Kempf M.Como</v>
      </c>
      <c r="C100" s="1">
        <v>1095128</v>
      </c>
      <c r="D100" s="1" t="s">
        <v>182</v>
      </c>
      <c r="E100" s="1" t="s">
        <v>572</v>
      </c>
      <c r="F100" s="1" t="s">
        <v>22</v>
      </c>
      <c r="G100" s="1" t="s">
        <v>92</v>
      </c>
      <c r="H100" s="1">
        <v>6</v>
      </c>
      <c r="I100" s="1">
        <v>15</v>
      </c>
      <c r="J100" s="1" t="str">
        <f>VLOOKUP(A100,'Leghe Fantacalcio'!A:I,1,FALSE)</f>
        <v>KempfComo</v>
      </c>
      <c r="K100" s="1" t="e">
        <f>VLOOKUP(B100,'Leghe Fantacalcio'!A:I,1,FALSE)</f>
        <v>#N/A</v>
      </c>
      <c r="L100" s="1">
        <f>IF(ISNA(VLOOKUP(A100,'Leghe Fantacalcio'!A:I,2,FALSE)),"",VLOOKUP(A100,'Leghe Fantacalcio'!A:I,2,FALSE))</f>
        <v>6893</v>
      </c>
      <c r="M100" s="1" t="str">
        <f>IF(ISNA(VLOOKUP(B100,'Leghe Fantacalcio'!A:I,2,FALSE)),"",VLOOKUP(B100,'Leghe Fantacalcio'!A:I,2,FALSE))</f>
        <v/>
      </c>
      <c r="N100" s="1">
        <f t="shared" si="6"/>
        <v>6893</v>
      </c>
      <c r="O100" s="1">
        <f>IFERROR(VLOOKUP(N100,'Leghe Fantacalcio'!B:I,8,FALSE),0)</f>
        <v>11</v>
      </c>
      <c r="P100" s="1" t="str">
        <f t="shared" si="7"/>
        <v>update giocatori set fvm = 11 where id = 1095128;</v>
      </c>
    </row>
    <row r="101" spans="1:16" x14ac:dyDescent="0.25">
      <c r="A101" s="1" t="str">
        <f t="shared" si="4"/>
        <v>LahdoComo</v>
      </c>
      <c r="B101" s="1" t="str">
        <f t="shared" si="5"/>
        <v>Lahdo A.Como</v>
      </c>
      <c r="C101" s="1">
        <v>1120325</v>
      </c>
      <c r="D101" s="1" t="s">
        <v>460</v>
      </c>
      <c r="E101" s="1" t="s">
        <v>584</v>
      </c>
      <c r="F101" s="1" t="s">
        <v>22</v>
      </c>
      <c r="G101" s="1" t="s">
        <v>283</v>
      </c>
      <c r="H101" s="1">
        <v>6</v>
      </c>
      <c r="I101" s="1">
        <v>1</v>
      </c>
      <c r="J101" s="1" t="str">
        <f>VLOOKUP(A101,'Leghe Fantacalcio'!A:I,1,FALSE)</f>
        <v>LahdoComo</v>
      </c>
      <c r="K101" s="1" t="e">
        <f>VLOOKUP(B101,'Leghe Fantacalcio'!A:I,1,FALSE)</f>
        <v>#N/A</v>
      </c>
      <c r="L101" s="1">
        <f>IF(ISNA(VLOOKUP(A101,'Leghe Fantacalcio'!A:I,2,FALSE)),"",VLOOKUP(A101,'Leghe Fantacalcio'!A:I,2,FALSE))</f>
        <v>7357</v>
      </c>
      <c r="M101" s="1" t="str">
        <f>IF(ISNA(VLOOKUP(B101,'Leghe Fantacalcio'!A:I,2,FALSE)),"",VLOOKUP(B101,'Leghe Fantacalcio'!A:I,2,FALSE))</f>
        <v/>
      </c>
      <c r="N101" s="1">
        <f t="shared" si="6"/>
        <v>7357</v>
      </c>
      <c r="O101" s="1">
        <f>IFERROR(VLOOKUP(N101,'Leghe Fantacalcio'!B:I,8,FALSE),0)</f>
        <v>1</v>
      </c>
      <c r="P101" s="1" t="str">
        <f t="shared" si="7"/>
        <v>update giocatori set fvm = 1 where id = 1120325;</v>
      </c>
    </row>
    <row r="102" spans="1:16" x14ac:dyDescent="0.25">
      <c r="A102" s="1" t="str">
        <f t="shared" si="4"/>
        <v>LiberaliComo</v>
      </c>
      <c r="B102" s="1" t="str">
        <f t="shared" si="5"/>
        <v>Liberali M.Como</v>
      </c>
      <c r="C102" s="1">
        <v>1119755</v>
      </c>
      <c r="D102" s="1" t="s">
        <v>396</v>
      </c>
      <c r="E102" s="1" t="s">
        <v>572</v>
      </c>
      <c r="F102" s="1" t="s">
        <v>22</v>
      </c>
      <c r="G102" s="1" t="s">
        <v>283</v>
      </c>
      <c r="H102" s="1">
        <v>6</v>
      </c>
      <c r="I102" s="1">
        <v>14</v>
      </c>
      <c r="J102" s="1" t="str">
        <f>VLOOKUP(A102,'Leghe Fantacalcio'!A:I,1,FALSE)</f>
        <v>LiberaliComo</v>
      </c>
      <c r="K102" s="1" t="e">
        <f>VLOOKUP(B102,'Leghe Fantacalcio'!A:I,1,FALSE)</f>
        <v>#N/A</v>
      </c>
      <c r="L102" s="1">
        <f>IF(ISNA(VLOOKUP(A102,'Leghe Fantacalcio'!A:I,2,FALSE)),"",VLOOKUP(A102,'Leghe Fantacalcio'!A:I,2,FALSE))</f>
        <v>6678</v>
      </c>
      <c r="M102" s="1" t="str">
        <f>IF(ISNA(VLOOKUP(B102,'Leghe Fantacalcio'!A:I,2,FALSE)),"",VLOOKUP(B102,'Leghe Fantacalcio'!A:I,2,FALSE))</f>
        <v/>
      </c>
      <c r="N102" s="1">
        <f t="shared" si="6"/>
        <v>6678</v>
      </c>
      <c r="O102" s="1">
        <f>IFERROR(VLOOKUP(N102,'Leghe Fantacalcio'!B:I,8,FALSE),0)</f>
        <v>10</v>
      </c>
      <c r="P102" s="1" t="str">
        <f t="shared" si="7"/>
        <v>update giocatori set fvm = 10 where id = 1119755;</v>
      </c>
    </row>
    <row r="103" spans="1:16" ht="14.5" x14ac:dyDescent="0.35">
      <c r="A103" s="1" t="str">
        <f t="shared" si="4"/>
        <v>MillaComo</v>
      </c>
      <c r="B103" s="1" t="str">
        <f t="shared" si="5"/>
        <v>Milla Como</v>
      </c>
      <c r="C103" s="1">
        <v>1094684</v>
      </c>
      <c r="D103" t="s">
        <v>365</v>
      </c>
      <c r="E103" s="1" t="s">
        <v>579</v>
      </c>
      <c r="F103" s="1" t="s">
        <v>22</v>
      </c>
      <c r="G103" s="1" t="s">
        <v>283</v>
      </c>
      <c r="H103" s="1">
        <v>6</v>
      </c>
      <c r="I103" s="1">
        <v>18</v>
      </c>
      <c r="J103" s="1" t="str">
        <f>VLOOKUP(A103,'Leghe Fantacalcio'!A:I,1,FALSE)</f>
        <v>MillaComo</v>
      </c>
      <c r="K103" s="1" t="e">
        <f>VLOOKUP(B103,'Leghe Fantacalcio'!A:I,1,FALSE)</f>
        <v>#N/A</v>
      </c>
      <c r="L103" s="1">
        <f>IF(ISNA(VLOOKUP(A103,'Leghe Fantacalcio'!A:I,2,FALSE)),"",VLOOKUP(A103,'Leghe Fantacalcio'!A:I,2,FALSE))</f>
        <v>7412</v>
      </c>
      <c r="M103" s="1" t="str">
        <f>IF(ISNA(VLOOKUP(B103,'Leghe Fantacalcio'!A:I,2,FALSE)),"",VLOOKUP(B103,'Leghe Fantacalcio'!A:I,2,FALSE))</f>
        <v/>
      </c>
      <c r="N103" s="1">
        <f t="shared" si="6"/>
        <v>7412</v>
      </c>
      <c r="O103" s="1">
        <f>IFERROR(VLOOKUP(N103,'Leghe Fantacalcio'!B:I,8,FALSE),0)</f>
        <v>26</v>
      </c>
      <c r="P103" s="1" t="str">
        <f t="shared" si="7"/>
        <v>update giocatori set fvm = 26 where id = 1094684;</v>
      </c>
    </row>
    <row r="104" spans="1:16" x14ac:dyDescent="0.25">
      <c r="A104" s="1" t="str">
        <f t="shared" si="4"/>
        <v>PazComo</v>
      </c>
      <c r="B104" s="1" t="str">
        <f t="shared" si="5"/>
        <v>Paz N.Como</v>
      </c>
      <c r="C104" s="1">
        <v>1116105</v>
      </c>
      <c r="D104" s="1" t="s">
        <v>631</v>
      </c>
      <c r="E104" s="1" t="s">
        <v>578</v>
      </c>
      <c r="F104" s="1" t="s">
        <v>22</v>
      </c>
      <c r="G104" s="1" t="s">
        <v>283</v>
      </c>
      <c r="H104" s="1">
        <v>6</v>
      </c>
      <c r="I104" s="1">
        <v>42</v>
      </c>
      <c r="J104" s="1" t="e">
        <f>VLOOKUP(A104,'Leghe Fantacalcio'!A:I,1,FALSE)</f>
        <v>#N/A</v>
      </c>
      <c r="K104" s="1" t="str">
        <f>VLOOKUP(B104,'Leghe Fantacalcio'!A:I,1,FALSE)</f>
        <v>Paz N.Como</v>
      </c>
      <c r="L104" s="1" t="str">
        <f>IF(ISNA(VLOOKUP(A104,'Leghe Fantacalcio'!A:I,2,FALSE)),"",VLOOKUP(A104,'Leghe Fantacalcio'!A:I,2,FALSE))</f>
        <v/>
      </c>
      <c r="M104" s="1">
        <f>IF(ISNA(VLOOKUP(B104,'Leghe Fantacalcio'!A:I,2,FALSE)),"",VLOOKUP(B104,'Leghe Fantacalcio'!A:I,2,FALSE))</f>
        <v>6875</v>
      </c>
      <c r="N104" s="1">
        <f t="shared" si="6"/>
        <v>6875</v>
      </c>
      <c r="O104" s="1">
        <f>IFERROR(VLOOKUP(N104,'Leghe Fantacalcio'!B:I,8,FALSE),0)</f>
        <v>248</v>
      </c>
      <c r="P104" s="1" t="str">
        <f t="shared" si="7"/>
        <v>update giocatori set fvm = 248 where id = 1116105;</v>
      </c>
    </row>
    <row r="105" spans="1:16" x14ac:dyDescent="0.25">
      <c r="A105" s="1" t="str">
        <f t="shared" si="4"/>
        <v>PerroneComo</v>
      </c>
      <c r="B105" s="1" t="str">
        <f t="shared" si="5"/>
        <v>Perrone M.Como</v>
      </c>
      <c r="C105" s="1">
        <v>1116309</v>
      </c>
      <c r="D105" s="1" t="s">
        <v>315</v>
      </c>
      <c r="E105" s="1" t="s">
        <v>572</v>
      </c>
      <c r="F105" s="1" t="s">
        <v>22</v>
      </c>
      <c r="G105" s="1" t="s">
        <v>283</v>
      </c>
      <c r="H105" s="1">
        <v>6</v>
      </c>
      <c r="I105" s="1">
        <v>29</v>
      </c>
      <c r="J105" s="1" t="str">
        <f>VLOOKUP(A105,'Leghe Fantacalcio'!A:I,1,FALSE)</f>
        <v>PerroneComo</v>
      </c>
      <c r="K105" s="1" t="e">
        <f>VLOOKUP(B105,'Leghe Fantacalcio'!A:I,1,FALSE)</f>
        <v>#N/A</v>
      </c>
      <c r="L105" s="1">
        <f>IF(ISNA(VLOOKUP(A105,'Leghe Fantacalcio'!A:I,2,FALSE)),"",VLOOKUP(A105,'Leghe Fantacalcio'!A:I,2,FALSE))</f>
        <v>6151</v>
      </c>
      <c r="M105" s="1" t="str">
        <f>IF(ISNA(VLOOKUP(B105,'Leghe Fantacalcio'!A:I,2,FALSE)),"",VLOOKUP(B105,'Leghe Fantacalcio'!A:I,2,FALSE))</f>
        <v/>
      </c>
      <c r="N105" s="1">
        <f t="shared" si="6"/>
        <v>6151</v>
      </c>
      <c r="O105" s="1">
        <f>IFERROR(VLOOKUP(N105,'Leghe Fantacalcio'!B:I,8,FALSE),0)</f>
        <v>32</v>
      </c>
      <c r="P105" s="1" t="str">
        <f t="shared" si="7"/>
        <v>update giocatori set fvm = 32 where id = 1116309;</v>
      </c>
    </row>
    <row r="106" spans="1:16" x14ac:dyDescent="0.25">
      <c r="A106" s="1" t="str">
        <f t="shared" si="4"/>
        <v>RicciComo</v>
      </c>
      <c r="B106" s="1" t="str">
        <f t="shared" si="5"/>
        <v>Ricci S.Como</v>
      </c>
      <c r="C106" s="1">
        <v>1069264</v>
      </c>
      <c r="D106" s="1" t="s">
        <v>660</v>
      </c>
      <c r="E106" s="1" t="s">
        <v>580</v>
      </c>
      <c r="F106" s="1" t="s">
        <v>22</v>
      </c>
      <c r="G106" s="1" t="s">
        <v>283</v>
      </c>
      <c r="H106" s="1">
        <v>6</v>
      </c>
      <c r="I106" s="1">
        <v>18</v>
      </c>
      <c r="J106" s="1" t="e">
        <f>VLOOKUP(A106,'Leghe Fantacalcio'!A:I,1,FALSE)</f>
        <v>#N/A</v>
      </c>
      <c r="K106" s="1" t="str">
        <f>VLOOKUP(B106,'Leghe Fantacalcio'!A:I,1,FALSE)</f>
        <v>Ricci S.Como</v>
      </c>
      <c r="L106" s="1" t="str">
        <f>IF(ISNA(VLOOKUP(A106,'Leghe Fantacalcio'!A:I,2,FALSE)),"",VLOOKUP(A106,'Leghe Fantacalcio'!A:I,2,FALSE))</f>
        <v/>
      </c>
      <c r="M106" s="1">
        <f>IF(ISNA(VLOOKUP(B106,'Leghe Fantacalcio'!A:I,2,FALSE)),"",VLOOKUP(B106,'Leghe Fantacalcio'!A:I,2,FALSE))</f>
        <v>5453</v>
      </c>
      <c r="N106" s="1">
        <f t="shared" si="6"/>
        <v>5453</v>
      </c>
      <c r="O106" s="1">
        <f>IFERROR(VLOOKUP(N106,'Leghe Fantacalcio'!B:I,8,FALSE),0)</f>
        <v>12</v>
      </c>
      <c r="P106" s="1" t="str">
        <f t="shared" si="7"/>
        <v>update giocatori set fvm = 12 where id = 1069264;</v>
      </c>
    </row>
    <row r="107" spans="1:16" x14ac:dyDescent="0.25">
      <c r="A107" s="1" t="str">
        <f t="shared" si="4"/>
        <v>Robert SanchezComo</v>
      </c>
      <c r="B107" s="1" t="str">
        <f t="shared" si="5"/>
        <v>Robert Sanchez Como</v>
      </c>
      <c r="C107" s="1">
        <v>1094809</v>
      </c>
      <c r="D107" s="1" t="s">
        <v>602</v>
      </c>
      <c r="E107" s="1" t="s">
        <v>579</v>
      </c>
      <c r="F107" s="1" t="s">
        <v>22</v>
      </c>
      <c r="G107" s="1" t="s">
        <v>8</v>
      </c>
      <c r="H107" s="1">
        <v>6</v>
      </c>
      <c r="I107" s="1">
        <v>2</v>
      </c>
      <c r="J107" s="1" t="e">
        <f>VLOOKUP(A107,'Leghe Fantacalcio'!A:I,1,FALSE)</f>
        <v>#N/A</v>
      </c>
      <c r="K107" s="1" t="e">
        <f>VLOOKUP(B107,'Leghe Fantacalcio'!A:I,1,FALSE)</f>
        <v>#N/A</v>
      </c>
      <c r="L107" s="1" t="str">
        <f>IF(ISNA(VLOOKUP(A107,'Leghe Fantacalcio'!A:I,2,FALSE)),"",VLOOKUP(A107,'Leghe Fantacalcio'!A:I,2,FALSE))</f>
        <v/>
      </c>
      <c r="M107" s="1" t="str">
        <f>IF(ISNA(VLOOKUP(B107,'Leghe Fantacalcio'!A:I,2,FALSE)),"",VLOOKUP(B107,'Leghe Fantacalcio'!A:I,2,FALSE))</f>
        <v/>
      </c>
      <c r="N107" s="1" t="str">
        <f t="shared" si="6"/>
        <v/>
      </c>
      <c r="O107" s="1">
        <f>IFERROR(VLOOKUP(N107,'Leghe Fantacalcio'!B:I,8,FALSE),0)</f>
        <v>0</v>
      </c>
      <c r="P107" s="1" t="str">
        <f t="shared" si="7"/>
        <v>update giocatori set fvm = 0 where id = 1094809;</v>
      </c>
    </row>
    <row r="108" spans="1:16" x14ac:dyDescent="0.25">
      <c r="A108" s="1" t="str">
        <f t="shared" si="4"/>
        <v>SmolcicComo</v>
      </c>
      <c r="B108" s="1" t="str">
        <f t="shared" si="5"/>
        <v>Smolcic I.Como</v>
      </c>
      <c r="C108" s="1">
        <v>1119841</v>
      </c>
      <c r="D108" s="1" t="s">
        <v>633</v>
      </c>
      <c r="E108" s="1" t="s">
        <v>600</v>
      </c>
      <c r="F108" s="1" t="s">
        <v>22</v>
      </c>
      <c r="G108" s="1" t="s">
        <v>92</v>
      </c>
      <c r="H108" s="1">
        <v>6</v>
      </c>
      <c r="I108" s="1">
        <v>9</v>
      </c>
      <c r="J108" s="1" t="e">
        <f>VLOOKUP(A108,'Leghe Fantacalcio'!A:I,1,FALSE)</f>
        <v>#N/A</v>
      </c>
      <c r="K108" s="1" t="str">
        <f>VLOOKUP(B108,'Leghe Fantacalcio'!A:I,1,FALSE)</f>
        <v>Smolcic I.Como</v>
      </c>
      <c r="L108" s="1" t="str">
        <f>IF(ISNA(VLOOKUP(A108,'Leghe Fantacalcio'!A:I,2,FALSE)),"",VLOOKUP(A108,'Leghe Fantacalcio'!A:I,2,FALSE))</f>
        <v/>
      </c>
      <c r="M108" s="1">
        <f>IF(ISNA(VLOOKUP(B108,'Leghe Fantacalcio'!A:I,2,FALSE)),"",VLOOKUP(B108,'Leghe Fantacalcio'!A:I,2,FALSE))</f>
        <v>7014</v>
      </c>
      <c r="N108" s="1">
        <f t="shared" si="6"/>
        <v>7014</v>
      </c>
      <c r="O108" s="1">
        <f>IFERROR(VLOOKUP(N108,'Leghe Fantacalcio'!B:I,8,FALSE),0)</f>
        <v>10</v>
      </c>
      <c r="P108" s="1" t="str">
        <f t="shared" si="7"/>
        <v>update giocatori set fvm = 10 where id = 1119841;</v>
      </c>
    </row>
    <row r="109" spans="1:16" x14ac:dyDescent="0.25">
      <c r="A109" s="1" t="str">
        <f t="shared" si="4"/>
        <v>VigoritoComo</v>
      </c>
      <c r="B109" s="1" t="str">
        <f t="shared" si="5"/>
        <v>Vigorito M.Como</v>
      </c>
      <c r="C109" s="1">
        <v>1026272</v>
      </c>
      <c r="D109" s="1" t="s">
        <v>57</v>
      </c>
      <c r="E109" s="1" t="s">
        <v>572</v>
      </c>
      <c r="F109" s="1" t="s">
        <v>22</v>
      </c>
      <c r="G109" s="1" t="s">
        <v>8</v>
      </c>
      <c r="H109" s="1">
        <v>6</v>
      </c>
      <c r="I109" s="1">
        <v>1</v>
      </c>
      <c r="J109" s="1" t="str">
        <f>VLOOKUP(A109,'Leghe Fantacalcio'!A:I,1,FALSE)</f>
        <v>VigoritoComo</v>
      </c>
      <c r="K109" s="1" t="e">
        <f>VLOOKUP(B109,'Leghe Fantacalcio'!A:I,1,FALSE)</f>
        <v>#N/A</v>
      </c>
      <c r="L109" s="1">
        <f>IF(ISNA(VLOOKUP(A109,'Leghe Fantacalcio'!A:I,2,FALSE)),"",VLOOKUP(A109,'Leghe Fantacalcio'!A:I,2,FALSE))</f>
        <v>2809</v>
      </c>
      <c r="M109" s="1" t="str">
        <f>IF(ISNA(VLOOKUP(B109,'Leghe Fantacalcio'!A:I,2,FALSE)),"",VLOOKUP(B109,'Leghe Fantacalcio'!A:I,2,FALSE))</f>
        <v/>
      </c>
      <c r="N109" s="1">
        <f t="shared" si="6"/>
        <v>2809</v>
      </c>
      <c r="O109" s="1">
        <f>IFERROR(VLOOKUP(N109,'Leghe Fantacalcio'!B:I,8,FALSE),0)</f>
        <v>1</v>
      </c>
      <c r="P109" s="1" t="str">
        <f t="shared" si="7"/>
        <v>update giocatori set fvm = 1 where id = 1026272;</v>
      </c>
    </row>
    <row r="110" spans="1:16" x14ac:dyDescent="0.25">
      <c r="A110" s="1" t="str">
        <f t="shared" si="4"/>
        <v>CoutoComo</v>
      </c>
      <c r="B110" s="1" t="str">
        <f t="shared" si="5"/>
        <v>Couto Como</v>
      </c>
      <c r="C110" s="1">
        <v>1094914</v>
      </c>
      <c r="D110" s="4" t="s">
        <v>143</v>
      </c>
      <c r="E110" s="1" t="s">
        <v>579</v>
      </c>
      <c r="F110" s="1" t="s">
        <v>22</v>
      </c>
      <c r="G110" s="1" t="s">
        <v>92</v>
      </c>
      <c r="H110" s="1">
        <v>6</v>
      </c>
      <c r="I110" s="1">
        <v>10</v>
      </c>
      <c r="J110" s="1" t="str">
        <f>VLOOKUP(A110,'Leghe Fantacalcio'!A:I,1,FALSE)</f>
        <v>CoutoComo</v>
      </c>
      <c r="K110" s="1" t="e">
        <f>VLOOKUP(B110,'Leghe Fantacalcio'!A:I,1,FALSE)</f>
        <v>#N/A</v>
      </c>
      <c r="L110" s="1">
        <f>IF(ISNA(VLOOKUP(A110,'Leghe Fantacalcio'!A:I,2,FALSE)),"",VLOOKUP(A110,'Leghe Fantacalcio'!A:I,2,FALSE))</f>
        <v>6727</v>
      </c>
      <c r="M110" s="1" t="str">
        <f>IF(ISNA(VLOOKUP(B110,'Leghe Fantacalcio'!A:I,2,FALSE)),"",VLOOKUP(B110,'Leghe Fantacalcio'!A:I,2,FALSE))</f>
        <v/>
      </c>
      <c r="N110" s="1">
        <f t="shared" si="6"/>
        <v>6727</v>
      </c>
      <c r="O110" s="1">
        <f>IFERROR(VLOOKUP(N110,'Leghe Fantacalcio'!B:I,8,FALSE),0)</f>
        <v>29</v>
      </c>
      <c r="P110" s="1" t="str">
        <f t="shared" si="7"/>
        <v>update giocatori set fvm = 29 where id = 1094914;</v>
      </c>
    </row>
    <row r="111" spans="1:16" ht="14.5" x14ac:dyDescent="0.35">
      <c r="A111" s="1" t="str">
        <f t="shared" si="4"/>
        <v>Jimenez A.Fiorentina</v>
      </c>
      <c r="B111" s="1" t="str">
        <f t="shared" si="5"/>
        <v>Jimenez A. Fiorentina</v>
      </c>
      <c r="C111" s="1">
        <v>1118586</v>
      </c>
      <c r="D111" t="s">
        <v>113</v>
      </c>
      <c r="E111" s="1" t="s">
        <v>579</v>
      </c>
      <c r="F111" s="1" t="s">
        <v>26</v>
      </c>
      <c r="G111" s="1" t="s">
        <v>92</v>
      </c>
      <c r="H111" s="1">
        <v>6</v>
      </c>
      <c r="I111" s="1">
        <v>14</v>
      </c>
      <c r="J111" s="1" t="str">
        <f>VLOOKUP(A111,'Leghe Fantacalcio'!A:I,1,FALSE)</f>
        <v>Jimenez A.Fiorentina</v>
      </c>
      <c r="K111" s="1" t="e">
        <f>VLOOKUP(B111,'Leghe Fantacalcio'!A:I,1,FALSE)</f>
        <v>#N/A</v>
      </c>
      <c r="L111" s="1">
        <f>IF(ISNA(VLOOKUP(A111,'Leghe Fantacalcio'!A:I,2,FALSE)),"",VLOOKUP(A111,'Leghe Fantacalcio'!A:I,2,FALSE))</f>
        <v>6531</v>
      </c>
      <c r="M111" s="1" t="str">
        <f>IF(ISNA(VLOOKUP(B111,'Leghe Fantacalcio'!A:I,2,FALSE)),"",VLOOKUP(B111,'Leghe Fantacalcio'!A:I,2,FALSE))</f>
        <v/>
      </c>
      <c r="N111" s="1">
        <f t="shared" si="6"/>
        <v>6531</v>
      </c>
      <c r="O111" s="1">
        <f>IFERROR(VLOOKUP(N111,'Leghe Fantacalcio'!B:I,8,FALSE),0)</f>
        <v>30</v>
      </c>
      <c r="P111" s="1" t="str">
        <f t="shared" si="7"/>
        <v>update giocatori set fvm = 30 where id = 1118586;</v>
      </c>
    </row>
    <row r="112" spans="1:16" x14ac:dyDescent="0.25">
      <c r="A112" s="1" t="str">
        <f t="shared" si="4"/>
        <v>AttaFiorentina</v>
      </c>
      <c r="B112" s="1" t="str">
        <f t="shared" si="5"/>
        <v>Atta A.Fiorentina</v>
      </c>
      <c r="C112" s="1">
        <v>1117169</v>
      </c>
      <c r="D112" s="1" t="s">
        <v>300</v>
      </c>
      <c r="E112" s="1" t="s">
        <v>584</v>
      </c>
      <c r="F112" s="1" t="s">
        <v>26</v>
      </c>
      <c r="G112" s="1" t="s">
        <v>283</v>
      </c>
      <c r="H112" s="1">
        <v>6</v>
      </c>
      <c r="I112" s="1">
        <v>26</v>
      </c>
      <c r="J112" s="1" t="str">
        <f>VLOOKUP(A112,'Leghe Fantacalcio'!A:I,1,FALSE)</f>
        <v>AttaFiorentina</v>
      </c>
      <c r="K112" s="1" t="e">
        <f>VLOOKUP(B112,'Leghe Fantacalcio'!A:I,1,FALSE)</f>
        <v>#N/A</v>
      </c>
      <c r="L112" s="1">
        <f>IF(ISNA(VLOOKUP(A112,'Leghe Fantacalcio'!A:I,2,FALSE)),"",VLOOKUP(A112,'Leghe Fantacalcio'!A:I,2,FALSE))</f>
        <v>6908</v>
      </c>
      <c r="M112" s="1" t="str">
        <f>IF(ISNA(VLOOKUP(B112,'Leghe Fantacalcio'!A:I,2,FALSE)),"",VLOOKUP(B112,'Leghe Fantacalcio'!A:I,2,FALSE))</f>
        <v/>
      </c>
      <c r="N112" s="1">
        <f t="shared" si="6"/>
        <v>6908</v>
      </c>
      <c r="O112" s="1">
        <f>IFERROR(VLOOKUP(N112,'Leghe Fantacalcio'!B:I,8,FALSE),0)</f>
        <v>63</v>
      </c>
      <c r="P112" s="1" t="str">
        <f t="shared" si="7"/>
        <v>update giocatori set fvm = 63 where id = 1117169;</v>
      </c>
    </row>
    <row r="113" spans="1:16" x14ac:dyDescent="0.25">
      <c r="A113" s="1" t="str">
        <f t="shared" si="4"/>
        <v>BetoFiorentina</v>
      </c>
      <c r="B113" s="1" t="str">
        <f t="shared" si="5"/>
        <v>Beto Fiorentina</v>
      </c>
      <c r="C113" s="1">
        <v>1111387</v>
      </c>
      <c r="D113" s="1" t="s">
        <v>507</v>
      </c>
      <c r="E113" s="1" t="s">
        <v>579</v>
      </c>
      <c r="F113" s="1" t="s">
        <v>26</v>
      </c>
      <c r="G113" s="1" t="s">
        <v>478</v>
      </c>
      <c r="H113" s="1">
        <v>6</v>
      </c>
      <c r="I113" s="1">
        <v>41</v>
      </c>
      <c r="J113" s="1" t="str">
        <f>VLOOKUP(A113,'Leghe Fantacalcio'!A:I,1,FALSE)</f>
        <v>BetoFiorentina</v>
      </c>
      <c r="K113" s="1" t="e">
        <f>VLOOKUP(B113,'Leghe Fantacalcio'!A:I,1,FALSE)</f>
        <v>#N/A</v>
      </c>
      <c r="L113" s="1">
        <f>IF(ISNA(VLOOKUP(A113,'Leghe Fantacalcio'!A:I,2,FALSE)),"",VLOOKUP(A113,'Leghe Fantacalcio'!A:I,2,FALSE))</f>
        <v>5694</v>
      </c>
      <c r="M113" s="1" t="str">
        <f>IF(ISNA(VLOOKUP(B113,'Leghe Fantacalcio'!A:I,2,FALSE)),"",VLOOKUP(B113,'Leghe Fantacalcio'!A:I,2,FALSE))</f>
        <v/>
      </c>
      <c r="N113" s="1">
        <f t="shared" si="6"/>
        <v>5694</v>
      </c>
      <c r="O113" s="1">
        <f>IFERROR(VLOOKUP(N113,'Leghe Fantacalcio'!B:I,8,FALSE),0)</f>
        <v>49</v>
      </c>
      <c r="P113" s="1" t="str">
        <f t="shared" si="7"/>
        <v>update giocatori set fvm = 49 where id = 1111387;</v>
      </c>
    </row>
    <row r="114" spans="1:16" x14ac:dyDescent="0.25">
      <c r="A114" s="1" t="str">
        <f t="shared" si="4"/>
        <v>BrescianiniFiorentina</v>
      </c>
      <c r="B114" s="1" t="str">
        <f t="shared" si="5"/>
        <v>Brescianini M.Fiorentina</v>
      </c>
      <c r="C114" s="1">
        <v>1067761</v>
      </c>
      <c r="D114" s="1" t="s">
        <v>435</v>
      </c>
      <c r="E114" s="1" t="s">
        <v>572</v>
      </c>
      <c r="F114" s="1" t="s">
        <v>26</v>
      </c>
      <c r="G114" s="1" t="s">
        <v>283</v>
      </c>
      <c r="H114" s="1">
        <v>6</v>
      </c>
      <c r="I114" s="1">
        <v>16</v>
      </c>
      <c r="J114" s="1" t="str">
        <f>VLOOKUP(A114,'Leghe Fantacalcio'!A:I,1,FALSE)</f>
        <v>BrescianiniFiorentina</v>
      </c>
      <c r="K114" s="1" t="e">
        <f>VLOOKUP(B114,'Leghe Fantacalcio'!A:I,1,FALSE)</f>
        <v>#N/A</v>
      </c>
      <c r="L114" s="1">
        <f>IF(ISNA(VLOOKUP(A114,'Leghe Fantacalcio'!A:I,2,FALSE)),"",VLOOKUP(A114,'Leghe Fantacalcio'!A:I,2,FALSE))</f>
        <v>4947</v>
      </c>
      <c r="M114" s="1" t="str">
        <f>IF(ISNA(VLOOKUP(B114,'Leghe Fantacalcio'!A:I,2,FALSE)),"",VLOOKUP(B114,'Leghe Fantacalcio'!A:I,2,FALSE))</f>
        <v/>
      </c>
      <c r="N114" s="1">
        <f t="shared" si="6"/>
        <v>4947</v>
      </c>
      <c r="O114" s="1">
        <f>IFERROR(VLOOKUP(N114,'Leghe Fantacalcio'!B:I,8,FALSE),0)</f>
        <v>8</v>
      </c>
      <c r="P114" s="1" t="str">
        <f t="shared" si="7"/>
        <v>update giocatori set fvm = 8 where id = 1067761;</v>
      </c>
    </row>
    <row r="115" spans="1:16" x14ac:dyDescent="0.25">
      <c r="A115" s="1" t="str">
        <f t="shared" si="4"/>
        <v>ChristensenFiorentina</v>
      </c>
      <c r="B115" s="1" t="str">
        <f t="shared" si="5"/>
        <v>Christensen O.Fiorentina</v>
      </c>
      <c r="C115" s="1">
        <v>1110748</v>
      </c>
      <c r="D115" s="1" t="s">
        <v>576</v>
      </c>
      <c r="E115" s="1" t="s">
        <v>577</v>
      </c>
      <c r="F115" s="1" t="s">
        <v>26</v>
      </c>
      <c r="G115" s="1" t="s">
        <v>8</v>
      </c>
      <c r="H115" s="1">
        <v>6</v>
      </c>
      <c r="I115" s="1">
        <v>1</v>
      </c>
      <c r="J115" s="1" t="e">
        <f>VLOOKUP(A115,'Leghe Fantacalcio'!A:I,1,FALSE)</f>
        <v>#N/A</v>
      </c>
      <c r="K115" s="1" t="str">
        <f>VLOOKUP(B115,'Leghe Fantacalcio'!A:I,1,FALSE)</f>
        <v>Christensen O.Fiorentina</v>
      </c>
      <c r="L115" s="1" t="str">
        <f>IF(ISNA(VLOOKUP(A115,'Leghe Fantacalcio'!A:I,2,FALSE)),"",VLOOKUP(A115,'Leghe Fantacalcio'!A:I,2,FALSE))</f>
        <v/>
      </c>
      <c r="M115" s="1">
        <f>IF(ISNA(VLOOKUP(B115,'Leghe Fantacalcio'!A:I,2,FALSE)),"",VLOOKUP(B115,'Leghe Fantacalcio'!A:I,2,FALSE))</f>
        <v>6403</v>
      </c>
      <c r="N115" s="1">
        <f t="shared" si="6"/>
        <v>6403</v>
      </c>
      <c r="O115" s="1">
        <f>IFERROR(VLOOKUP(N115,'Leghe Fantacalcio'!B:I,8,FALSE),0)</f>
        <v>1</v>
      </c>
      <c r="P115" s="1" t="str">
        <f t="shared" si="7"/>
        <v>update giocatori set fvm = 1 where id = 1110748;</v>
      </c>
    </row>
    <row r="116" spans="1:16" x14ac:dyDescent="0.25">
      <c r="A116" s="1" t="str">
        <f t="shared" si="4"/>
        <v>CrociFiorentina</v>
      </c>
      <c r="B116" s="1" t="str">
        <f t="shared" si="5"/>
        <v>Croci F.Fiorentina</v>
      </c>
      <c r="C116" s="1">
        <v>1120531</v>
      </c>
      <c r="D116" s="1" t="s">
        <v>672</v>
      </c>
      <c r="E116" s="1" t="s">
        <v>589</v>
      </c>
      <c r="F116" s="1" t="s">
        <v>26</v>
      </c>
      <c r="G116" s="1" t="s">
        <v>478</v>
      </c>
      <c r="H116" s="1">
        <v>6</v>
      </c>
      <c r="I116" s="1">
        <v>1</v>
      </c>
      <c r="J116" s="1" t="e">
        <f>VLOOKUP(A116,'Leghe Fantacalcio'!A:I,1,FALSE)</f>
        <v>#N/A</v>
      </c>
      <c r="K116" s="1" t="e">
        <f>VLOOKUP(B116,'Leghe Fantacalcio'!A:I,1,FALSE)</f>
        <v>#N/A</v>
      </c>
      <c r="L116" s="1" t="str">
        <f>IF(ISNA(VLOOKUP(A116,'Leghe Fantacalcio'!A:I,2,FALSE)),"",VLOOKUP(A116,'Leghe Fantacalcio'!A:I,2,FALSE))</f>
        <v/>
      </c>
      <c r="M116" s="1" t="str">
        <f>IF(ISNA(VLOOKUP(B116,'Leghe Fantacalcio'!A:I,2,FALSE)),"",VLOOKUP(B116,'Leghe Fantacalcio'!A:I,2,FALSE))</f>
        <v/>
      </c>
      <c r="N116" s="1" t="str">
        <f t="shared" si="6"/>
        <v/>
      </c>
      <c r="O116" s="1">
        <f>IFERROR(VLOOKUP(N116,'Leghe Fantacalcio'!B:I,8,FALSE),0)</f>
        <v>0</v>
      </c>
      <c r="P116" s="1" t="str">
        <f t="shared" si="7"/>
        <v>update giocatori set fvm = 0 where id = 1120531;</v>
      </c>
    </row>
    <row r="117" spans="1:16" ht="14.5" x14ac:dyDescent="0.35">
      <c r="A117" s="1" t="str">
        <f t="shared" si="4"/>
        <v>De GeaFiorentina</v>
      </c>
      <c r="B117" s="1" t="str">
        <f t="shared" si="5"/>
        <v>De Gea Fiorentina</v>
      </c>
      <c r="C117" s="1">
        <v>1016631</v>
      </c>
      <c r="D117" t="s">
        <v>25</v>
      </c>
      <c r="E117" s="1" t="s">
        <v>579</v>
      </c>
      <c r="F117" s="1" t="s">
        <v>26</v>
      </c>
      <c r="G117" s="1" t="s">
        <v>8</v>
      </c>
      <c r="H117" s="1">
        <v>6</v>
      </c>
      <c r="I117" s="1">
        <v>10</v>
      </c>
      <c r="J117" s="1" t="str">
        <f>VLOOKUP(A117,'Leghe Fantacalcio'!A:I,1,FALSE)</f>
        <v>De GeaFiorentina</v>
      </c>
      <c r="K117" s="1" t="e">
        <f>VLOOKUP(B117,'Leghe Fantacalcio'!A:I,1,FALSE)</f>
        <v>#N/A</v>
      </c>
      <c r="L117" s="1">
        <f>IF(ISNA(VLOOKUP(A117,'Leghe Fantacalcio'!A:I,2,FALSE)),"",VLOOKUP(A117,'Leghe Fantacalcio'!A:I,2,FALSE))</f>
        <v>2521</v>
      </c>
      <c r="M117" s="1" t="str">
        <f>IF(ISNA(VLOOKUP(B117,'Leghe Fantacalcio'!A:I,2,FALSE)),"",VLOOKUP(B117,'Leghe Fantacalcio'!A:I,2,FALSE))</f>
        <v/>
      </c>
      <c r="N117" s="1">
        <f t="shared" si="6"/>
        <v>2521</v>
      </c>
      <c r="O117" s="1">
        <f>IFERROR(VLOOKUP(N117,'Leghe Fantacalcio'!B:I,8,FALSE),0)</f>
        <v>25</v>
      </c>
      <c r="P117" s="1" t="str">
        <f t="shared" si="7"/>
        <v>update giocatori set fvm = 25 where id = 1016631;</v>
      </c>
    </row>
    <row r="118" spans="1:16" ht="14.5" x14ac:dyDescent="0.35">
      <c r="A118" s="1" t="str">
        <f t="shared" si="4"/>
        <v>DodòFiorentina</v>
      </c>
      <c r="B118" s="1" t="str">
        <f t="shared" si="5"/>
        <v>Dodò Fiorentina</v>
      </c>
      <c r="C118" s="1">
        <v>1065906</v>
      </c>
      <c r="D118" t="s">
        <v>133</v>
      </c>
      <c r="E118" s="1" t="s">
        <v>579</v>
      </c>
      <c r="F118" s="1" t="s">
        <v>26</v>
      </c>
      <c r="G118" s="1" t="s">
        <v>92</v>
      </c>
      <c r="H118" s="1">
        <v>6</v>
      </c>
      <c r="I118" s="1">
        <v>11</v>
      </c>
      <c r="J118" s="1" t="str">
        <f>VLOOKUP(A118,'Leghe Fantacalcio'!A:I,1,FALSE)</f>
        <v>DodòFiorentina</v>
      </c>
      <c r="K118" s="1" t="e">
        <f>VLOOKUP(B118,'Leghe Fantacalcio'!A:I,1,FALSE)</f>
        <v>#N/A</v>
      </c>
      <c r="L118" s="1">
        <f>IF(ISNA(VLOOKUP(A118,'Leghe Fantacalcio'!A:I,2,FALSE)),"",VLOOKUP(A118,'Leghe Fantacalcio'!A:I,2,FALSE))</f>
        <v>5885</v>
      </c>
      <c r="M118" s="1" t="str">
        <f>IF(ISNA(VLOOKUP(B118,'Leghe Fantacalcio'!A:I,2,FALSE)),"",VLOOKUP(B118,'Leghe Fantacalcio'!A:I,2,FALSE))</f>
        <v/>
      </c>
      <c r="N118" s="1">
        <f t="shared" si="6"/>
        <v>5885</v>
      </c>
      <c r="O118" s="1">
        <f>IFERROR(VLOOKUP(N118,'Leghe Fantacalcio'!B:I,8,FALSE),0)</f>
        <v>8</v>
      </c>
      <c r="P118" s="1" t="str">
        <f t="shared" si="7"/>
        <v>update giocatori set fvm = 8 where id = 1065906;</v>
      </c>
    </row>
    <row r="119" spans="1:16" x14ac:dyDescent="0.25">
      <c r="A119" s="1" t="str">
        <f t="shared" si="4"/>
        <v>DragusinFiorentina</v>
      </c>
      <c r="B119" s="1" t="str">
        <f t="shared" si="5"/>
        <v>Dragusin R.Fiorentina</v>
      </c>
      <c r="C119" s="1">
        <v>1102945</v>
      </c>
      <c r="D119" s="1" t="s">
        <v>132</v>
      </c>
      <c r="E119" s="1" t="s">
        <v>581</v>
      </c>
      <c r="F119" s="1" t="s">
        <v>26</v>
      </c>
      <c r="G119" s="1" t="s">
        <v>92</v>
      </c>
      <c r="H119" s="1">
        <v>6</v>
      </c>
      <c r="I119" s="1">
        <v>11</v>
      </c>
      <c r="J119" s="1" t="str">
        <f>VLOOKUP(A119,'Leghe Fantacalcio'!A:I,1,FALSE)</f>
        <v>DragusinFiorentina</v>
      </c>
      <c r="K119" s="1" t="e">
        <f>VLOOKUP(B119,'Leghe Fantacalcio'!A:I,1,FALSE)</f>
        <v>#N/A</v>
      </c>
      <c r="L119" s="1">
        <f>IF(ISNA(VLOOKUP(A119,'Leghe Fantacalcio'!A:I,2,FALSE)),"",VLOOKUP(A119,'Leghe Fantacalcio'!A:I,2,FALSE))</f>
        <v>5365</v>
      </c>
      <c r="M119" s="1" t="str">
        <f>IF(ISNA(VLOOKUP(B119,'Leghe Fantacalcio'!A:I,2,FALSE)),"",VLOOKUP(B119,'Leghe Fantacalcio'!A:I,2,FALSE))</f>
        <v/>
      </c>
      <c r="N119" s="1">
        <f t="shared" si="6"/>
        <v>5365</v>
      </c>
      <c r="O119" s="1">
        <f>IFERROR(VLOOKUP(N119,'Leghe Fantacalcio'!B:I,8,FALSE),0)</f>
        <v>19</v>
      </c>
      <c r="P119" s="1" t="str">
        <f t="shared" si="7"/>
        <v>update giocatori set fvm = 19 where id = 1102945;</v>
      </c>
    </row>
    <row r="120" spans="1:16" x14ac:dyDescent="0.25">
      <c r="A120" s="1" t="str">
        <f t="shared" si="4"/>
        <v>FagioliFiorentina</v>
      </c>
      <c r="B120" s="1" t="str">
        <f t="shared" si="5"/>
        <v>Fagioli N.Fiorentina</v>
      </c>
      <c r="C120" s="1">
        <v>1103752</v>
      </c>
      <c r="D120" s="1" t="s">
        <v>349</v>
      </c>
      <c r="E120" s="1" t="s">
        <v>578</v>
      </c>
      <c r="F120" s="1" t="s">
        <v>26</v>
      </c>
      <c r="G120" s="1" t="s">
        <v>283</v>
      </c>
      <c r="H120" s="1">
        <v>6</v>
      </c>
      <c r="I120" s="1">
        <v>25</v>
      </c>
      <c r="J120" s="1" t="str">
        <f>VLOOKUP(A120,'Leghe Fantacalcio'!A:I,1,FALSE)</f>
        <v>FagioliFiorentina</v>
      </c>
      <c r="K120" s="1" t="e">
        <f>VLOOKUP(B120,'Leghe Fantacalcio'!A:I,1,FALSE)</f>
        <v>#N/A</v>
      </c>
      <c r="L120" s="1">
        <f>IF(ISNA(VLOOKUP(A120,'Leghe Fantacalcio'!A:I,2,FALSE)),"",VLOOKUP(A120,'Leghe Fantacalcio'!A:I,2,FALSE))</f>
        <v>4465</v>
      </c>
      <c r="M120" s="1" t="str">
        <f>IF(ISNA(VLOOKUP(B120,'Leghe Fantacalcio'!A:I,2,FALSE)),"",VLOOKUP(B120,'Leghe Fantacalcio'!A:I,2,FALSE))</f>
        <v/>
      </c>
      <c r="N120" s="1">
        <f t="shared" si="6"/>
        <v>4465</v>
      </c>
      <c r="O120" s="1">
        <f>IFERROR(VLOOKUP(N120,'Leghe Fantacalcio'!B:I,8,FALSE),0)</f>
        <v>22</v>
      </c>
      <c r="P120" s="1" t="str">
        <f t="shared" si="7"/>
        <v>update giocatori set fvm = 22 where id = 1103752;</v>
      </c>
    </row>
    <row r="121" spans="1:16" x14ac:dyDescent="0.25">
      <c r="A121" s="1" t="str">
        <f t="shared" si="4"/>
        <v>GnontoFiorentina</v>
      </c>
      <c r="B121" s="1" t="str">
        <f t="shared" si="5"/>
        <v>Gnonto W.Fiorentina</v>
      </c>
      <c r="C121" s="1">
        <v>1113898</v>
      </c>
      <c r="D121" s="1" t="s">
        <v>533</v>
      </c>
      <c r="E121" s="1" t="s">
        <v>582</v>
      </c>
      <c r="F121" s="1" t="s">
        <v>26</v>
      </c>
      <c r="G121" s="1" t="s">
        <v>478</v>
      </c>
      <c r="H121" s="1">
        <v>6</v>
      </c>
      <c r="I121" s="1">
        <v>28</v>
      </c>
      <c r="J121" s="1" t="str">
        <f>VLOOKUP(A121,'Leghe Fantacalcio'!A:I,1,FALSE)</f>
        <v>GnontoFiorentina</v>
      </c>
      <c r="K121" s="1" t="e">
        <f>VLOOKUP(B121,'Leghe Fantacalcio'!A:I,1,FALSE)</f>
        <v>#N/A</v>
      </c>
      <c r="L121" s="1">
        <f>IF(ISNA(VLOOKUP(A121,'Leghe Fantacalcio'!A:I,2,FALSE)),"",VLOOKUP(A121,'Leghe Fantacalcio'!A:I,2,FALSE))</f>
        <v>7623</v>
      </c>
      <c r="M121" s="1" t="str">
        <f>IF(ISNA(VLOOKUP(B121,'Leghe Fantacalcio'!A:I,2,FALSE)),"",VLOOKUP(B121,'Leghe Fantacalcio'!A:I,2,FALSE))</f>
        <v/>
      </c>
      <c r="N121" s="1">
        <f t="shared" si="6"/>
        <v>7623</v>
      </c>
      <c r="O121" s="1">
        <f>IFERROR(VLOOKUP(N121,'Leghe Fantacalcio'!B:I,8,FALSE),0)</f>
        <v>17</v>
      </c>
      <c r="P121" s="1" t="str">
        <f t="shared" si="7"/>
        <v>update giocatori set fvm = 17 where id = 1113898;</v>
      </c>
    </row>
    <row r="122" spans="1:16" ht="14.5" x14ac:dyDescent="0.35">
      <c r="A122" s="1" t="str">
        <f t="shared" si="4"/>
        <v>OulaiFiorentina</v>
      </c>
      <c r="B122" s="1" t="str">
        <f t="shared" si="5"/>
        <v>Oulai C.Fiorentina</v>
      </c>
      <c r="C122" s="1">
        <v>1120430</v>
      </c>
      <c r="D122" t="s">
        <v>397</v>
      </c>
      <c r="E122" s="1" t="s">
        <v>592</v>
      </c>
      <c r="F122" s="1" t="s">
        <v>26</v>
      </c>
      <c r="G122" s="1" t="s">
        <v>283</v>
      </c>
      <c r="H122" s="1">
        <v>6</v>
      </c>
      <c r="I122" s="1">
        <v>15</v>
      </c>
      <c r="J122" s="1" t="str">
        <f>VLOOKUP(A122,'Leghe Fantacalcio'!A:I,1,FALSE)</f>
        <v>OulaiFiorentina</v>
      </c>
      <c r="K122" s="1" t="e">
        <f>VLOOKUP(B122,'Leghe Fantacalcio'!A:I,1,FALSE)</f>
        <v>#N/A</v>
      </c>
      <c r="L122" s="1">
        <f>IF(ISNA(VLOOKUP(A122,'Leghe Fantacalcio'!A:I,2,FALSE)),"",VLOOKUP(A122,'Leghe Fantacalcio'!A:I,2,FALSE))</f>
        <v>7464</v>
      </c>
      <c r="M122" s="1" t="str">
        <f>IF(ISNA(VLOOKUP(B122,'Leghe Fantacalcio'!A:I,2,FALSE)),"",VLOOKUP(B122,'Leghe Fantacalcio'!A:I,2,FALSE))</f>
        <v/>
      </c>
      <c r="N122" s="1">
        <f t="shared" si="6"/>
        <v>7464</v>
      </c>
      <c r="O122" s="1">
        <f>IFERROR(VLOOKUP(N122,'Leghe Fantacalcio'!B:I,8,FALSE),0)</f>
        <v>16</v>
      </c>
      <c r="P122" s="1" t="str">
        <f t="shared" si="7"/>
        <v>update giocatori set fvm = 16 where id = 1120430;</v>
      </c>
    </row>
    <row r="123" spans="1:16" x14ac:dyDescent="0.25">
      <c r="A123" s="1" t="str">
        <f t="shared" si="4"/>
        <v>Joao MarioFiorentina</v>
      </c>
      <c r="B123" s="1" t="str">
        <f t="shared" si="5"/>
        <v>Joao Mario Fiorentina</v>
      </c>
      <c r="C123" s="1">
        <v>1095701</v>
      </c>
      <c r="D123" s="1" t="s">
        <v>241</v>
      </c>
      <c r="E123" s="1" t="s">
        <v>579</v>
      </c>
      <c r="F123" s="1" t="s">
        <v>26</v>
      </c>
      <c r="G123" s="1" t="s">
        <v>92</v>
      </c>
      <c r="H123" s="1">
        <v>6</v>
      </c>
      <c r="I123" s="1">
        <v>7</v>
      </c>
      <c r="J123" s="1" t="str">
        <f>VLOOKUP(A123,'Leghe Fantacalcio'!A:I,1,FALSE)</f>
        <v>Joao MarioFiorentina</v>
      </c>
      <c r="K123" s="1" t="e">
        <f>VLOOKUP(B123,'Leghe Fantacalcio'!A:I,1,FALSE)</f>
        <v>#N/A</v>
      </c>
      <c r="L123" s="1">
        <f>IF(ISNA(VLOOKUP(A123,'Leghe Fantacalcio'!A:I,2,FALSE)),"",VLOOKUP(A123,'Leghe Fantacalcio'!A:I,2,FALSE))</f>
        <v>7175</v>
      </c>
      <c r="M123" s="1" t="str">
        <f>IF(ISNA(VLOOKUP(B123,'Leghe Fantacalcio'!A:I,2,FALSE)),"",VLOOKUP(B123,'Leghe Fantacalcio'!A:I,2,FALSE))</f>
        <v/>
      </c>
      <c r="N123" s="1">
        <f t="shared" si="6"/>
        <v>7175</v>
      </c>
      <c r="O123" s="1">
        <f>IFERROR(VLOOKUP(N123,'Leghe Fantacalcio'!B:I,8,FALSE),0)</f>
        <v>12</v>
      </c>
      <c r="P123" s="1" t="str">
        <f t="shared" si="7"/>
        <v>update giocatori set fvm = 12 where id = 1095701;</v>
      </c>
    </row>
    <row r="124" spans="1:16" x14ac:dyDescent="0.25">
      <c r="A124" s="1" t="str">
        <f t="shared" si="4"/>
        <v>LezzeriniFiorentina</v>
      </c>
      <c r="B124" s="1" t="str">
        <f t="shared" si="5"/>
        <v>Lezzerini L.Fiorentina</v>
      </c>
      <c r="C124" s="1">
        <v>1043995</v>
      </c>
      <c r="D124" s="1" t="s">
        <v>59</v>
      </c>
      <c r="E124" s="1" t="s">
        <v>590</v>
      </c>
      <c r="F124" s="1" t="s">
        <v>26</v>
      </c>
      <c r="G124" s="1" t="s">
        <v>8</v>
      </c>
      <c r="H124" s="1">
        <v>6</v>
      </c>
      <c r="I124" s="1">
        <v>1</v>
      </c>
      <c r="J124" s="1" t="str">
        <f>VLOOKUP(A124,'Leghe Fantacalcio'!A:I,1,FALSE)</f>
        <v>LezzeriniFiorentina</v>
      </c>
      <c r="K124" s="1" t="e">
        <f>VLOOKUP(B124,'Leghe Fantacalcio'!A:I,1,FALSE)</f>
        <v>#N/A</v>
      </c>
      <c r="L124" s="1">
        <f>IF(ISNA(VLOOKUP(A124,'Leghe Fantacalcio'!A:I,2,FALSE)),"",VLOOKUP(A124,'Leghe Fantacalcio'!A:I,2,FALSE))</f>
        <v>158</v>
      </c>
      <c r="M124" s="1" t="str">
        <f>IF(ISNA(VLOOKUP(B124,'Leghe Fantacalcio'!A:I,2,FALSE)),"",VLOOKUP(B124,'Leghe Fantacalcio'!A:I,2,FALSE))</f>
        <v/>
      </c>
      <c r="N124" s="1">
        <f t="shared" si="6"/>
        <v>158</v>
      </c>
      <c r="O124" s="1">
        <f>IFERROR(VLOOKUP(N124,'Leghe Fantacalcio'!B:I,8,FALSE),0)</f>
        <v>1</v>
      </c>
      <c r="P124" s="1" t="str">
        <f t="shared" si="7"/>
        <v>update giocatori set fvm = 1 where id = 1043995;</v>
      </c>
    </row>
    <row r="125" spans="1:16" x14ac:dyDescent="0.25">
      <c r="A125" s="1" t="str">
        <f t="shared" si="4"/>
        <v>MastantuonoFiorentina</v>
      </c>
      <c r="B125" s="1" t="str">
        <f t="shared" si="5"/>
        <v>Mastantuono F.Fiorentina</v>
      </c>
      <c r="C125" s="1">
        <v>1120530</v>
      </c>
      <c r="D125" s="1" t="s">
        <v>304</v>
      </c>
      <c r="E125" s="1" t="s">
        <v>589</v>
      </c>
      <c r="F125" s="1" t="s">
        <v>26</v>
      </c>
      <c r="G125" s="1" t="s">
        <v>283</v>
      </c>
      <c r="H125" s="1">
        <v>6</v>
      </c>
      <c r="I125" s="1">
        <v>32</v>
      </c>
      <c r="J125" s="1" t="str">
        <f>VLOOKUP(A125,'Leghe Fantacalcio'!A:I,1,FALSE)</f>
        <v>MastantuonoFiorentina</v>
      </c>
      <c r="K125" s="1" t="e">
        <f>VLOOKUP(B125,'Leghe Fantacalcio'!A:I,1,FALSE)</f>
        <v>#N/A</v>
      </c>
      <c r="L125" s="1">
        <f>IF(ISNA(VLOOKUP(A125,'Leghe Fantacalcio'!A:I,2,FALSE)),"",VLOOKUP(A125,'Leghe Fantacalcio'!A:I,2,FALSE))</f>
        <v>7078</v>
      </c>
      <c r="M125" s="1" t="str">
        <f>IF(ISNA(VLOOKUP(B125,'Leghe Fantacalcio'!A:I,2,FALSE)),"",VLOOKUP(B125,'Leghe Fantacalcio'!A:I,2,FALSE))</f>
        <v/>
      </c>
      <c r="N125" s="1">
        <f t="shared" si="6"/>
        <v>7078</v>
      </c>
      <c r="O125" s="1">
        <f>IFERROR(VLOOKUP(N125,'Leghe Fantacalcio'!B:I,8,FALSE),0)</f>
        <v>70</v>
      </c>
      <c r="P125" s="1" t="str">
        <f t="shared" si="7"/>
        <v>update giocatori set fvm = 70 where id = 1120530;</v>
      </c>
    </row>
    <row r="126" spans="1:16" x14ac:dyDescent="0.25">
      <c r="A126" s="1" t="str">
        <f t="shared" si="4"/>
        <v>NdourFiorentina</v>
      </c>
      <c r="B126" s="1" t="str">
        <f t="shared" si="5"/>
        <v>Ndour C.Fiorentina</v>
      </c>
      <c r="C126" s="1">
        <v>1116582</v>
      </c>
      <c r="D126" s="1" t="s">
        <v>350</v>
      </c>
      <c r="E126" s="1" t="s">
        <v>592</v>
      </c>
      <c r="F126" s="1" t="s">
        <v>26</v>
      </c>
      <c r="G126" s="1" t="s">
        <v>283</v>
      </c>
      <c r="H126" s="1">
        <v>6</v>
      </c>
      <c r="I126" s="1">
        <v>14</v>
      </c>
      <c r="J126" s="1" t="str">
        <f>VLOOKUP(A126,'Leghe Fantacalcio'!A:I,1,FALSE)</f>
        <v>NdourFiorentina</v>
      </c>
      <c r="K126" s="1" t="e">
        <f>VLOOKUP(B126,'Leghe Fantacalcio'!A:I,1,FALSE)</f>
        <v>#N/A</v>
      </c>
      <c r="L126" s="1">
        <f>IF(ISNA(VLOOKUP(A126,'Leghe Fantacalcio'!A:I,2,FALSE)),"",VLOOKUP(A126,'Leghe Fantacalcio'!A:I,2,FALSE))</f>
        <v>6294</v>
      </c>
      <c r="M126" s="1" t="str">
        <f>IF(ISNA(VLOOKUP(B126,'Leghe Fantacalcio'!A:I,2,FALSE)),"",VLOOKUP(B126,'Leghe Fantacalcio'!A:I,2,FALSE))</f>
        <v/>
      </c>
      <c r="N126" s="1">
        <f t="shared" si="6"/>
        <v>6294</v>
      </c>
      <c r="O126" s="1">
        <f>IFERROR(VLOOKUP(N126,'Leghe Fantacalcio'!B:I,8,FALSE),0)</f>
        <v>20</v>
      </c>
      <c r="P126" s="1" t="str">
        <f t="shared" si="7"/>
        <v>update giocatori set fvm = 20 where id = 1116582;</v>
      </c>
    </row>
    <row r="127" spans="1:16" x14ac:dyDescent="0.25">
      <c r="A127" s="1" t="str">
        <f t="shared" si="4"/>
        <v>NjieFiorentina</v>
      </c>
      <c r="B127" s="1" t="str">
        <f t="shared" si="5"/>
        <v>Njie E.Fiorentina</v>
      </c>
      <c r="C127" s="1">
        <v>1119063</v>
      </c>
      <c r="D127" s="1" t="s">
        <v>370</v>
      </c>
      <c r="E127" s="1" t="s">
        <v>573</v>
      </c>
      <c r="F127" s="1" t="s">
        <v>26</v>
      </c>
      <c r="G127" s="1" t="s">
        <v>478</v>
      </c>
      <c r="H127" s="1">
        <v>6</v>
      </c>
      <c r="I127" s="1">
        <v>20</v>
      </c>
      <c r="J127" s="1" t="str">
        <f>VLOOKUP(A127,'Leghe Fantacalcio'!A:I,1,FALSE)</f>
        <v>NjieFiorentina</v>
      </c>
      <c r="K127" s="1" t="e">
        <f>VLOOKUP(B127,'Leghe Fantacalcio'!A:I,1,FALSE)</f>
        <v>#N/A</v>
      </c>
      <c r="L127" s="1">
        <f>IF(ISNA(VLOOKUP(A127,'Leghe Fantacalcio'!A:I,2,FALSE)),"",VLOOKUP(A127,'Leghe Fantacalcio'!A:I,2,FALSE))</f>
        <v>6827</v>
      </c>
      <c r="M127" s="1" t="str">
        <f>IF(ISNA(VLOOKUP(B127,'Leghe Fantacalcio'!A:I,2,FALSE)),"",VLOOKUP(B127,'Leghe Fantacalcio'!A:I,2,FALSE))</f>
        <v/>
      </c>
      <c r="N127" s="1">
        <f t="shared" si="6"/>
        <v>6827</v>
      </c>
      <c r="O127" s="1">
        <f>IFERROR(VLOOKUP(N127,'Leghe Fantacalcio'!B:I,8,FALSE),0)</f>
        <v>28</v>
      </c>
      <c r="P127" s="1" t="str">
        <f t="shared" si="7"/>
        <v>update giocatori set fvm = 28 where id = 1119063;</v>
      </c>
    </row>
    <row r="128" spans="1:16" x14ac:dyDescent="0.25">
      <c r="A128" s="1" t="str">
        <f t="shared" si="4"/>
        <v>ParisiFiorentina</v>
      </c>
      <c r="B128" s="1" t="str">
        <f t="shared" si="5"/>
        <v>Parisi F.Fiorentina</v>
      </c>
      <c r="C128" s="1">
        <v>1102357</v>
      </c>
      <c r="D128" s="1" t="s">
        <v>202</v>
      </c>
      <c r="E128" s="1" t="s">
        <v>589</v>
      </c>
      <c r="F128" s="1" t="s">
        <v>26</v>
      </c>
      <c r="G128" s="1" t="s">
        <v>92</v>
      </c>
      <c r="H128" s="1">
        <v>6</v>
      </c>
      <c r="I128" s="1">
        <v>8</v>
      </c>
      <c r="J128" s="1" t="str">
        <f>VLOOKUP(A128,'Leghe Fantacalcio'!A:I,1,FALSE)</f>
        <v>ParisiFiorentina</v>
      </c>
      <c r="K128" s="1" t="e">
        <f>VLOOKUP(B128,'Leghe Fantacalcio'!A:I,1,FALSE)</f>
        <v>#N/A</v>
      </c>
      <c r="L128" s="1">
        <f>IF(ISNA(VLOOKUP(A128,'Leghe Fantacalcio'!A:I,2,FALSE)),"",VLOOKUP(A128,'Leghe Fantacalcio'!A:I,2,FALSE))</f>
        <v>5449</v>
      </c>
      <c r="M128" s="1" t="str">
        <f>IF(ISNA(VLOOKUP(B128,'Leghe Fantacalcio'!A:I,2,FALSE)),"",VLOOKUP(B128,'Leghe Fantacalcio'!A:I,2,FALSE))</f>
        <v/>
      </c>
      <c r="N128" s="1">
        <f t="shared" si="6"/>
        <v>5449</v>
      </c>
      <c r="O128" s="1">
        <f>IFERROR(VLOOKUP(N128,'Leghe Fantacalcio'!B:I,8,FALSE),0)</f>
        <v>10</v>
      </c>
      <c r="P128" s="1" t="str">
        <f t="shared" si="7"/>
        <v>update giocatori set fvm = 10 where id = 1102357;</v>
      </c>
    </row>
    <row r="129" spans="1:16" x14ac:dyDescent="0.25">
      <c r="A129" s="1" t="str">
        <f t="shared" si="4"/>
        <v>PellegrinoFiorentina</v>
      </c>
      <c r="B129" s="1" t="str">
        <f t="shared" si="5"/>
        <v>Pellegrino M.Fiorentina</v>
      </c>
      <c r="C129" s="1">
        <v>1119848</v>
      </c>
      <c r="D129" s="1" t="s">
        <v>685</v>
      </c>
      <c r="E129" s="1" t="s">
        <v>572</v>
      </c>
      <c r="F129" s="1" t="s">
        <v>26</v>
      </c>
      <c r="G129" s="1" t="s">
        <v>478</v>
      </c>
      <c r="H129" s="1">
        <v>6</v>
      </c>
      <c r="I129" s="1">
        <v>36</v>
      </c>
      <c r="J129" s="1" t="e">
        <f>VLOOKUP(A129,'Leghe Fantacalcio'!A:I,1,FALSE)</f>
        <v>#N/A</v>
      </c>
      <c r="K129" s="1" t="str">
        <f>VLOOKUP(B129,'Leghe Fantacalcio'!A:I,1,FALSE)</f>
        <v>Pellegrino M.Fiorentina</v>
      </c>
      <c r="L129" s="1" t="str">
        <f>IF(ISNA(VLOOKUP(A129,'Leghe Fantacalcio'!A:I,2,FALSE)),"",VLOOKUP(A129,'Leghe Fantacalcio'!A:I,2,FALSE))</f>
        <v/>
      </c>
      <c r="M129" s="1">
        <f>IF(ISNA(VLOOKUP(B129,'Leghe Fantacalcio'!A:I,2,FALSE)),"",VLOOKUP(B129,'Leghe Fantacalcio'!A:I,2,FALSE))</f>
        <v>7023</v>
      </c>
      <c r="N129" s="1">
        <f t="shared" si="6"/>
        <v>7023</v>
      </c>
      <c r="O129" s="1">
        <f>IFERROR(VLOOKUP(N129,'Leghe Fantacalcio'!B:I,8,FALSE),0)</f>
        <v>51</v>
      </c>
      <c r="P129" s="1" t="str">
        <f t="shared" si="7"/>
        <v>update giocatori set fvm = 51 where id = 1119848;</v>
      </c>
    </row>
    <row r="130" spans="1:16" x14ac:dyDescent="0.25">
      <c r="A130" s="1" t="str">
        <f t="shared" ref="A130:A193" si="8">CONCATENATE(D130,F130)</f>
        <v>PongracicFiorentina</v>
      </c>
      <c r="B130" s="1" t="str">
        <f t="shared" si="5"/>
        <v>Pongracic M.Fiorentina</v>
      </c>
      <c r="C130" s="1">
        <v>1063203</v>
      </c>
      <c r="D130" s="1" t="s">
        <v>225</v>
      </c>
      <c r="E130" s="1" t="s">
        <v>572</v>
      </c>
      <c r="F130" s="1" t="s">
        <v>26</v>
      </c>
      <c r="G130" s="1" t="s">
        <v>92</v>
      </c>
      <c r="H130" s="1">
        <v>6</v>
      </c>
      <c r="I130" s="1">
        <v>9</v>
      </c>
      <c r="J130" s="1" t="str">
        <f>VLOOKUP(A130,'Leghe Fantacalcio'!A:I,1,FALSE)</f>
        <v>PongracicFiorentina</v>
      </c>
      <c r="K130" s="1" t="e">
        <f>VLOOKUP(B130,'Leghe Fantacalcio'!A:I,1,FALSE)</f>
        <v>#N/A</v>
      </c>
      <c r="L130" s="1">
        <f>IF(ISNA(VLOOKUP(A130,'Leghe Fantacalcio'!A:I,2,FALSE)),"",VLOOKUP(A130,'Leghe Fantacalcio'!A:I,2,FALSE))</f>
        <v>5603</v>
      </c>
      <c r="M130" s="1" t="str">
        <f>IF(ISNA(VLOOKUP(B130,'Leghe Fantacalcio'!A:I,2,FALSE)),"",VLOOKUP(B130,'Leghe Fantacalcio'!A:I,2,FALSE))</f>
        <v/>
      </c>
      <c r="N130" s="1">
        <f t="shared" si="6"/>
        <v>5603</v>
      </c>
      <c r="O130" s="1">
        <f>IFERROR(VLOOKUP(N130,'Leghe Fantacalcio'!B:I,8,FALSE),0)</f>
        <v>8</v>
      </c>
      <c r="P130" s="1" t="str">
        <f t="shared" si="7"/>
        <v>update giocatori set fvm = 8 where id = 1063203;</v>
      </c>
    </row>
    <row r="131" spans="1:16" ht="14.5" x14ac:dyDescent="0.35">
      <c r="A131" s="1" t="str">
        <f t="shared" si="8"/>
        <v>Goncalves P.Fiorentina</v>
      </c>
      <c r="B131" s="1" t="str">
        <f t="shared" ref="B131:B194" si="9">CONCATENATE(D131," ",E131,F131)</f>
        <v>Goncalves P. Fiorentina</v>
      </c>
      <c r="C131" s="1">
        <v>1102205</v>
      </c>
      <c r="D131" t="s">
        <v>329</v>
      </c>
      <c r="E131" s="1" t="s">
        <v>579</v>
      </c>
      <c r="F131" s="1" t="s">
        <v>26</v>
      </c>
      <c r="G131" s="1" t="s">
        <v>283</v>
      </c>
      <c r="H131" s="1">
        <v>6</v>
      </c>
      <c r="I131" s="1">
        <v>25</v>
      </c>
      <c r="J131" s="1" t="str">
        <f>VLOOKUP(A131,'Leghe Fantacalcio'!A:I,1,FALSE)</f>
        <v>Goncalves P.Fiorentina</v>
      </c>
      <c r="K131" s="1" t="e">
        <f>VLOOKUP(B131,'Leghe Fantacalcio'!A:I,1,FALSE)</f>
        <v>#N/A</v>
      </c>
      <c r="L131" s="1">
        <f>IF(ISNA(VLOOKUP(A131,'Leghe Fantacalcio'!A:I,2,FALSE)),"",VLOOKUP(A131,'Leghe Fantacalcio'!A:I,2,FALSE))</f>
        <v>7625</v>
      </c>
      <c r="M131" s="1" t="str">
        <f>IF(ISNA(VLOOKUP(B131,'Leghe Fantacalcio'!A:I,2,FALSE)),"",VLOOKUP(B131,'Leghe Fantacalcio'!A:I,2,FALSE))</f>
        <v/>
      </c>
      <c r="N131" s="1">
        <f t="shared" ref="N131:N194" si="10">IFERROR(VALUE(CONCATENATE(L131,M131)),"")</f>
        <v>7625</v>
      </c>
      <c r="O131" s="1">
        <f>IFERROR(VLOOKUP(N131,'Leghe Fantacalcio'!B:I,8,FALSE),0)</f>
        <v>37</v>
      </c>
      <c r="P131" s="1" t="str">
        <f t="shared" ref="P131:P194" si="11">CONCATENATE("update giocatori set fvm = ",O131," where id = ",C131,";")</f>
        <v>update giocatori set fvm = 37 where id = 1102205;</v>
      </c>
    </row>
    <row r="132" spans="1:16" x14ac:dyDescent="0.25">
      <c r="A132" s="1" t="str">
        <f t="shared" si="8"/>
        <v>RanieriFiorentina</v>
      </c>
      <c r="B132" s="1" t="str">
        <f t="shared" si="9"/>
        <v>Ranieri L.Fiorentina</v>
      </c>
      <c r="C132" s="1">
        <v>1064713</v>
      </c>
      <c r="D132" s="1" t="s">
        <v>632</v>
      </c>
      <c r="E132" s="1" t="s">
        <v>590</v>
      </c>
      <c r="F132" s="1" t="s">
        <v>26</v>
      </c>
      <c r="G132" s="1" t="s">
        <v>92</v>
      </c>
      <c r="H132" s="1">
        <v>6</v>
      </c>
      <c r="I132" s="1">
        <v>10</v>
      </c>
      <c r="J132" s="1" t="e">
        <f>VLOOKUP(A132,'Leghe Fantacalcio'!A:I,1,FALSE)</f>
        <v>#N/A</v>
      </c>
      <c r="K132" s="1" t="str">
        <f>VLOOKUP(B132,'Leghe Fantacalcio'!A:I,1,FALSE)</f>
        <v>Ranieri L.Fiorentina</v>
      </c>
      <c r="L132" s="1" t="str">
        <f>IF(ISNA(VLOOKUP(A132,'Leghe Fantacalcio'!A:I,2,FALSE)),"",VLOOKUP(A132,'Leghe Fantacalcio'!A:I,2,FALSE))</f>
        <v/>
      </c>
      <c r="M132" s="1">
        <f>IF(ISNA(VLOOKUP(B132,'Leghe Fantacalcio'!A:I,2,FALSE)),"",VLOOKUP(B132,'Leghe Fantacalcio'!A:I,2,FALSE))</f>
        <v>4378</v>
      </c>
      <c r="N132" s="1">
        <f t="shared" si="10"/>
        <v>4378</v>
      </c>
      <c r="O132" s="1">
        <f>IFERROR(VLOOKUP(N132,'Leghe Fantacalcio'!B:I,8,FALSE),0)</f>
        <v>10</v>
      </c>
      <c r="P132" s="1" t="str">
        <f t="shared" si="11"/>
        <v>update giocatori set fvm = 10 where id = 1064713;</v>
      </c>
    </row>
    <row r="133" spans="1:16" ht="14.5" x14ac:dyDescent="0.35">
      <c r="A133" s="1" t="str">
        <f t="shared" si="8"/>
        <v>ValdepenasFiorentina</v>
      </c>
      <c r="B133" s="1" t="str">
        <f t="shared" si="9"/>
        <v>Valdepenas Fiorentina</v>
      </c>
      <c r="C133" s="1">
        <v>1120429</v>
      </c>
      <c r="D133" t="s">
        <v>183</v>
      </c>
      <c r="E133" s="1" t="s">
        <v>579</v>
      </c>
      <c r="F133" s="1" t="s">
        <v>26</v>
      </c>
      <c r="G133" s="1" t="s">
        <v>92</v>
      </c>
      <c r="H133" s="1">
        <v>6</v>
      </c>
      <c r="I133" s="1">
        <v>8</v>
      </c>
      <c r="J133" s="1" t="str">
        <f>VLOOKUP(A133,'Leghe Fantacalcio'!A:I,1,FALSE)</f>
        <v>ValdepenasFiorentina</v>
      </c>
      <c r="K133" s="1" t="e">
        <f>VLOOKUP(B133,'Leghe Fantacalcio'!A:I,1,FALSE)</f>
        <v>#N/A</v>
      </c>
      <c r="L133" s="1">
        <f>IF(ISNA(VLOOKUP(A133,'Leghe Fantacalcio'!A:I,2,FALSE)),"",VLOOKUP(A133,'Leghe Fantacalcio'!A:I,2,FALSE))</f>
        <v>7294</v>
      </c>
      <c r="M133" s="1" t="str">
        <f>IF(ISNA(VLOOKUP(B133,'Leghe Fantacalcio'!A:I,2,FALSE)),"",VLOOKUP(B133,'Leghe Fantacalcio'!A:I,2,FALSE))</f>
        <v/>
      </c>
      <c r="N133" s="1">
        <f t="shared" si="10"/>
        <v>7294</v>
      </c>
      <c r="O133" s="1">
        <f>IFERROR(VLOOKUP(N133,'Leghe Fantacalcio'!B:I,8,FALSE),0)</f>
        <v>10</v>
      </c>
      <c r="P133" s="1" t="str">
        <f t="shared" si="11"/>
        <v>update giocatori set fvm = 10 where id = 1120429;</v>
      </c>
    </row>
    <row r="134" spans="1:16" x14ac:dyDescent="0.25">
      <c r="A134" s="1" t="str">
        <f t="shared" si="8"/>
        <v>VieryFiorentina</v>
      </c>
      <c r="B134" s="1" t="str">
        <f t="shared" si="9"/>
        <v>Viery Fiorentina</v>
      </c>
      <c r="C134" s="1">
        <v>1120428</v>
      </c>
      <c r="D134" s="1" t="s">
        <v>184</v>
      </c>
      <c r="E134" s="1" t="s">
        <v>579</v>
      </c>
      <c r="F134" s="1" t="s">
        <v>26</v>
      </c>
      <c r="G134" s="1" t="s">
        <v>92</v>
      </c>
      <c r="H134" s="1">
        <v>6</v>
      </c>
      <c r="I134" s="1">
        <v>8</v>
      </c>
      <c r="J134" s="1" t="str">
        <f>VLOOKUP(A134,'Leghe Fantacalcio'!A:I,1,FALSE)</f>
        <v>VieryFiorentina</v>
      </c>
      <c r="K134" s="1" t="e">
        <f>VLOOKUP(B134,'Leghe Fantacalcio'!A:I,1,FALSE)</f>
        <v>#N/A</v>
      </c>
      <c r="L134" s="1">
        <f>IF(ISNA(VLOOKUP(A134,'Leghe Fantacalcio'!A:I,2,FALSE)),"",VLOOKUP(A134,'Leghe Fantacalcio'!A:I,2,FALSE))</f>
        <v>7410</v>
      </c>
      <c r="M134" s="1" t="str">
        <f>IF(ISNA(VLOOKUP(B134,'Leghe Fantacalcio'!A:I,2,FALSE)),"",VLOOKUP(B134,'Leghe Fantacalcio'!A:I,2,FALSE))</f>
        <v/>
      </c>
      <c r="N134" s="1">
        <f t="shared" si="10"/>
        <v>7410</v>
      </c>
      <c r="O134" s="1">
        <f>IFERROR(VLOOKUP(N134,'Leghe Fantacalcio'!B:I,8,FALSE),0)</f>
        <v>13</v>
      </c>
      <c r="P134" s="1" t="str">
        <f t="shared" si="11"/>
        <v>update giocatori set fvm = 13 where id = 1120428;</v>
      </c>
    </row>
    <row r="135" spans="1:16" x14ac:dyDescent="0.25">
      <c r="A135" s="1" t="str">
        <f t="shared" si="8"/>
        <v>AkpogumaFrosinone</v>
      </c>
      <c r="B135" s="1" t="str">
        <f t="shared" si="9"/>
        <v>Akpoguma K.Frosinone</v>
      </c>
      <c r="C135" s="1">
        <v>1042741</v>
      </c>
      <c r="D135" s="1" t="s">
        <v>242</v>
      </c>
      <c r="E135" s="1" t="s">
        <v>586</v>
      </c>
      <c r="F135" s="1" t="s">
        <v>30</v>
      </c>
      <c r="G135" s="1" t="s">
        <v>92</v>
      </c>
      <c r="H135" s="1">
        <v>6</v>
      </c>
      <c r="I135" s="1">
        <v>2</v>
      </c>
      <c r="J135" s="1" t="str">
        <f>VLOOKUP(A135,'Leghe Fantacalcio'!A:I,1,FALSE)</f>
        <v>AkpogumaFrosinone</v>
      </c>
      <c r="K135" s="1" t="e">
        <f>VLOOKUP(B135,'Leghe Fantacalcio'!A:I,1,FALSE)</f>
        <v>#N/A</v>
      </c>
      <c r="L135" s="1">
        <f>IF(ISNA(VLOOKUP(A135,'Leghe Fantacalcio'!A:I,2,FALSE)),"",VLOOKUP(A135,'Leghe Fantacalcio'!A:I,2,FALSE))</f>
        <v>7540</v>
      </c>
      <c r="M135" s="1" t="str">
        <f>IF(ISNA(VLOOKUP(B135,'Leghe Fantacalcio'!A:I,2,FALSE)),"",VLOOKUP(B135,'Leghe Fantacalcio'!A:I,2,FALSE))</f>
        <v/>
      </c>
      <c r="N135" s="1">
        <f t="shared" si="10"/>
        <v>7540</v>
      </c>
      <c r="O135" s="1">
        <f>IFERROR(VLOOKUP(N135,'Leghe Fantacalcio'!B:I,8,FALSE),0)</f>
        <v>6</v>
      </c>
      <c r="P135" s="1" t="str">
        <f t="shared" si="11"/>
        <v>update giocatori set fvm = 6 where id = 1042741;</v>
      </c>
    </row>
    <row r="136" spans="1:16" x14ac:dyDescent="0.25">
      <c r="A136" s="1" t="str">
        <f t="shared" si="8"/>
        <v>AmeyFrosinone</v>
      </c>
      <c r="B136" s="1" t="str">
        <f t="shared" si="9"/>
        <v>Amey W.Frosinone</v>
      </c>
      <c r="C136" s="1">
        <v>1109534</v>
      </c>
      <c r="D136" s="1" t="s">
        <v>259</v>
      </c>
      <c r="E136" s="1" t="s">
        <v>582</v>
      </c>
      <c r="F136" s="1" t="s">
        <v>30</v>
      </c>
      <c r="G136" s="1" t="s">
        <v>92</v>
      </c>
      <c r="H136" s="1">
        <v>6</v>
      </c>
      <c r="I136" s="1">
        <v>3</v>
      </c>
      <c r="J136" s="1" t="str">
        <f>VLOOKUP(A136,'Leghe Fantacalcio'!A:I,1,FALSE)</f>
        <v>AmeyFrosinone</v>
      </c>
      <c r="K136" s="1" t="e">
        <f>VLOOKUP(B136,'Leghe Fantacalcio'!A:I,1,FALSE)</f>
        <v>#N/A</v>
      </c>
      <c r="L136" s="1">
        <f>IF(ISNA(VLOOKUP(A136,'Leghe Fantacalcio'!A:I,2,FALSE)),"",VLOOKUP(A136,'Leghe Fantacalcio'!A:I,2,FALSE))</f>
        <v>5424</v>
      </c>
      <c r="M136" s="1" t="str">
        <f>IF(ISNA(VLOOKUP(B136,'Leghe Fantacalcio'!A:I,2,FALSE)),"",VLOOKUP(B136,'Leghe Fantacalcio'!A:I,2,FALSE))</f>
        <v/>
      </c>
      <c r="N136" s="1">
        <f t="shared" si="10"/>
        <v>5424</v>
      </c>
      <c r="O136" s="1">
        <f>IFERROR(VLOOKUP(N136,'Leghe Fantacalcio'!B:I,8,FALSE),0)</f>
        <v>1</v>
      </c>
      <c r="P136" s="1" t="str">
        <f t="shared" si="11"/>
        <v>update giocatori set fvm = 1 where id = 1109534;</v>
      </c>
    </row>
    <row r="137" spans="1:16" ht="14.5" x14ac:dyDescent="0.35">
      <c r="A137" s="1" t="str">
        <f t="shared" si="8"/>
        <v>BirligeaFrosinone</v>
      </c>
      <c r="B137" s="1" t="str">
        <f t="shared" si="9"/>
        <v>Birligea D.Frosinone</v>
      </c>
      <c r="C137" s="1">
        <v>1112727</v>
      </c>
      <c r="D137" t="s">
        <v>551</v>
      </c>
      <c r="E137" s="1" t="s">
        <v>593</v>
      </c>
      <c r="F137" s="1" t="s">
        <v>30</v>
      </c>
      <c r="G137" s="1" t="s">
        <v>478</v>
      </c>
      <c r="H137" s="1">
        <v>6</v>
      </c>
      <c r="I137" s="1">
        <v>15</v>
      </c>
      <c r="J137" s="1" t="str">
        <f>VLOOKUP(A137,'Leghe Fantacalcio'!A:I,1,FALSE)</f>
        <v>BirligeaFrosinone</v>
      </c>
      <c r="K137" s="1" t="e">
        <f>VLOOKUP(B137,'Leghe Fantacalcio'!A:I,1,FALSE)</f>
        <v>#N/A</v>
      </c>
      <c r="L137" s="1">
        <f>IF(ISNA(VLOOKUP(A137,'Leghe Fantacalcio'!A:I,2,FALSE)),"",VLOOKUP(A137,'Leghe Fantacalcio'!A:I,2,FALSE))</f>
        <v>7610</v>
      </c>
      <c r="M137" s="1" t="str">
        <f>IF(ISNA(VLOOKUP(B137,'Leghe Fantacalcio'!A:I,2,FALSE)),"",VLOOKUP(B137,'Leghe Fantacalcio'!A:I,2,FALSE))</f>
        <v/>
      </c>
      <c r="N137" s="1">
        <f t="shared" si="10"/>
        <v>7610</v>
      </c>
      <c r="O137" s="1">
        <f>IFERROR(VLOOKUP(N137,'Leghe Fantacalcio'!B:I,8,FALSE),0)</f>
        <v>3</v>
      </c>
      <c r="P137" s="1" t="str">
        <f t="shared" si="11"/>
        <v>update giocatori set fvm = 3 where id = 1112727;</v>
      </c>
    </row>
    <row r="138" spans="1:16" x14ac:dyDescent="0.25">
      <c r="A138" s="1" t="str">
        <f t="shared" si="8"/>
        <v>BobcekFrosinone</v>
      </c>
      <c r="B138" s="1" t="str">
        <f t="shared" si="9"/>
        <v>Bobcek T.Frosinone</v>
      </c>
      <c r="C138" s="1">
        <v>1098442</v>
      </c>
      <c r="D138" s="1" t="s">
        <v>528</v>
      </c>
      <c r="E138" s="1" t="s">
        <v>599</v>
      </c>
      <c r="F138" s="1" t="s">
        <v>30</v>
      </c>
      <c r="G138" s="1" t="s">
        <v>478</v>
      </c>
      <c r="H138" s="1">
        <v>6</v>
      </c>
      <c r="I138" s="1">
        <v>22</v>
      </c>
      <c r="J138" s="1" t="str">
        <f>VLOOKUP(A138,'Leghe Fantacalcio'!A:I,1,FALSE)</f>
        <v>BobcekFrosinone</v>
      </c>
      <c r="K138" s="1" t="e">
        <f>VLOOKUP(B138,'Leghe Fantacalcio'!A:I,1,FALSE)</f>
        <v>#N/A</v>
      </c>
      <c r="L138" s="1">
        <f>IF(ISNA(VLOOKUP(A138,'Leghe Fantacalcio'!A:I,2,FALSE)),"",VLOOKUP(A138,'Leghe Fantacalcio'!A:I,2,FALSE))</f>
        <v>7612</v>
      </c>
      <c r="M138" s="1" t="str">
        <f>IF(ISNA(VLOOKUP(B138,'Leghe Fantacalcio'!A:I,2,FALSE)),"",VLOOKUP(B138,'Leghe Fantacalcio'!A:I,2,FALSE))</f>
        <v/>
      </c>
      <c r="N138" s="1">
        <f t="shared" si="10"/>
        <v>7612</v>
      </c>
      <c r="O138" s="1">
        <f>IFERROR(VLOOKUP(N138,'Leghe Fantacalcio'!B:I,8,FALSE),0)</f>
        <v>10</v>
      </c>
      <c r="P138" s="1" t="str">
        <f t="shared" si="11"/>
        <v>update giocatori set fvm = 10 where id = 1098442;</v>
      </c>
    </row>
    <row r="139" spans="1:16" x14ac:dyDescent="0.25">
      <c r="A139" s="1" t="str">
        <f t="shared" si="8"/>
        <v>BracagliaFrosinone</v>
      </c>
      <c r="B139" s="1" t="str">
        <f t="shared" si="9"/>
        <v>Bracaglia G.Frosinone</v>
      </c>
      <c r="C139" s="1">
        <v>1115179</v>
      </c>
      <c r="D139" s="1" t="s">
        <v>121</v>
      </c>
      <c r="E139" s="1" t="s">
        <v>575</v>
      </c>
      <c r="F139" s="1" t="s">
        <v>30</v>
      </c>
      <c r="G139" s="1" t="s">
        <v>92</v>
      </c>
      <c r="H139" s="1">
        <v>6</v>
      </c>
      <c r="I139" s="1">
        <v>7</v>
      </c>
      <c r="J139" s="1" t="str">
        <f>VLOOKUP(A139,'Leghe Fantacalcio'!A:I,1,FALSE)</f>
        <v>BracagliaFrosinone</v>
      </c>
      <c r="K139" s="1" t="e">
        <f>VLOOKUP(B139,'Leghe Fantacalcio'!A:I,1,FALSE)</f>
        <v>#N/A</v>
      </c>
      <c r="L139" s="1">
        <f>IF(ISNA(VLOOKUP(A139,'Leghe Fantacalcio'!A:I,2,FALSE)),"",VLOOKUP(A139,'Leghe Fantacalcio'!A:I,2,FALSE))</f>
        <v>7469</v>
      </c>
      <c r="M139" s="1" t="str">
        <f>IF(ISNA(VLOOKUP(B139,'Leghe Fantacalcio'!A:I,2,FALSE)),"",VLOOKUP(B139,'Leghe Fantacalcio'!A:I,2,FALSE))</f>
        <v/>
      </c>
      <c r="N139" s="1">
        <f t="shared" si="10"/>
        <v>7469</v>
      </c>
      <c r="O139" s="1">
        <f>IFERROR(VLOOKUP(N139,'Leghe Fantacalcio'!B:I,8,FALSE),0)</f>
        <v>17</v>
      </c>
      <c r="P139" s="1" t="str">
        <f t="shared" si="11"/>
        <v>update giocatori set fvm = 17 where id = 1115179;</v>
      </c>
    </row>
    <row r="140" spans="1:16" ht="14.5" x14ac:dyDescent="0.35">
      <c r="A140" s="1" t="str">
        <f t="shared" si="8"/>
        <v>CalòFrosinone</v>
      </c>
      <c r="B140" s="1" t="str">
        <f t="shared" si="9"/>
        <v>Calò G.Frosinone</v>
      </c>
      <c r="C140" s="1">
        <v>1058637</v>
      </c>
      <c r="D140" t="s">
        <v>317</v>
      </c>
      <c r="E140" s="1" t="s">
        <v>575</v>
      </c>
      <c r="F140" s="1" t="s">
        <v>30</v>
      </c>
      <c r="G140" s="1" t="s">
        <v>283</v>
      </c>
      <c r="H140" s="1">
        <v>6</v>
      </c>
      <c r="I140" s="1">
        <v>23</v>
      </c>
      <c r="J140" s="1" t="str">
        <f>VLOOKUP(A140,'Leghe Fantacalcio'!A:I,1,FALSE)</f>
        <v>CalòFrosinone</v>
      </c>
      <c r="K140" s="1" t="e">
        <f>VLOOKUP(B140,'Leghe Fantacalcio'!A:I,1,FALSE)</f>
        <v>#N/A</v>
      </c>
      <c r="L140" s="1">
        <f>IF(ISNA(VLOOKUP(A140,'Leghe Fantacalcio'!A:I,2,FALSE)),"",VLOOKUP(A140,'Leghe Fantacalcio'!A:I,2,FALSE))</f>
        <v>7472</v>
      </c>
      <c r="M140" s="1" t="str">
        <f>IF(ISNA(VLOOKUP(B140,'Leghe Fantacalcio'!A:I,2,FALSE)),"",VLOOKUP(B140,'Leghe Fantacalcio'!A:I,2,FALSE))</f>
        <v/>
      </c>
      <c r="N140" s="1">
        <f t="shared" si="10"/>
        <v>7472</v>
      </c>
      <c r="O140" s="1">
        <f>IFERROR(VLOOKUP(N140,'Leghe Fantacalcio'!B:I,8,FALSE),0)</f>
        <v>37</v>
      </c>
      <c r="P140" s="1" t="str">
        <f t="shared" si="11"/>
        <v>update giocatori set fvm = 37 where id = 1058637;</v>
      </c>
    </row>
    <row r="141" spans="1:16" x14ac:dyDescent="0.25">
      <c r="A141" s="1" t="str">
        <f t="shared" si="8"/>
        <v>CalvaniFrosinone</v>
      </c>
      <c r="B141" s="1" t="str">
        <f t="shared" si="9"/>
        <v>Calvani G.Frosinone</v>
      </c>
      <c r="C141" s="1">
        <v>1115833</v>
      </c>
      <c r="D141" s="1" t="s">
        <v>134</v>
      </c>
      <c r="E141" s="1" t="s">
        <v>575</v>
      </c>
      <c r="F141" s="1" t="s">
        <v>30</v>
      </c>
      <c r="G141" s="1" t="s">
        <v>92</v>
      </c>
      <c r="H141" s="1">
        <v>6</v>
      </c>
      <c r="I141" s="1">
        <v>7</v>
      </c>
      <c r="J141" s="1" t="str">
        <f>VLOOKUP(A141,'Leghe Fantacalcio'!A:I,1,FALSE)</f>
        <v>CalvaniFrosinone</v>
      </c>
      <c r="K141" s="1" t="e">
        <f>VLOOKUP(B141,'Leghe Fantacalcio'!A:I,1,FALSE)</f>
        <v>#N/A</v>
      </c>
      <c r="L141" s="1">
        <f>IF(ISNA(VLOOKUP(A141,'Leghe Fantacalcio'!A:I,2,FALSE)),"",VLOOKUP(A141,'Leghe Fantacalcio'!A:I,2,FALSE))</f>
        <v>7467</v>
      </c>
      <c r="M141" s="1" t="str">
        <f>IF(ISNA(VLOOKUP(B141,'Leghe Fantacalcio'!A:I,2,FALSE)),"",VLOOKUP(B141,'Leghe Fantacalcio'!A:I,2,FALSE))</f>
        <v/>
      </c>
      <c r="N141" s="1">
        <f t="shared" si="10"/>
        <v>7467</v>
      </c>
      <c r="O141" s="1">
        <f>IFERROR(VLOOKUP(N141,'Leghe Fantacalcio'!B:I,8,FALSE),0)</f>
        <v>13</v>
      </c>
      <c r="P141" s="1" t="str">
        <f t="shared" si="11"/>
        <v>update giocatori set fvm = 13 where id = 1115833;</v>
      </c>
    </row>
    <row r="142" spans="1:16" x14ac:dyDescent="0.25">
      <c r="A142" s="1" t="str">
        <f t="shared" si="8"/>
        <v>CichellaFrosinone</v>
      </c>
      <c r="B142" s="1" t="str">
        <f t="shared" si="9"/>
        <v>Cichella M.Frosinone</v>
      </c>
      <c r="C142" s="1">
        <v>1120507</v>
      </c>
      <c r="D142" s="1" t="s">
        <v>414</v>
      </c>
      <c r="E142" s="1" t="s">
        <v>572</v>
      </c>
      <c r="F142" s="1" t="s">
        <v>30</v>
      </c>
      <c r="G142" s="1" t="s">
        <v>283</v>
      </c>
      <c r="H142" s="1">
        <v>6</v>
      </c>
      <c r="I142" s="1">
        <v>13</v>
      </c>
      <c r="J142" s="1" t="str">
        <f>VLOOKUP(A142,'Leghe Fantacalcio'!A:I,1,FALSE)</f>
        <v>CichellaFrosinone</v>
      </c>
      <c r="K142" s="1" t="e">
        <f>VLOOKUP(B142,'Leghe Fantacalcio'!A:I,1,FALSE)</f>
        <v>#N/A</v>
      </c>
      <c r="L142" s="1">
        <f>IF(ISNA(VLOOKUP(A142,'Leghe Fantacalcio'!A:I,2,FALSE)),"",VLOOKUP(A142,'Leghe Fantacalcio'!A:I,2,FALSE))</f>
        <v>7473</v>
      </c>
      <c r="M142" s="1" t="str">
        <f>IF(ISNA(VLOOKUP(B142,'Leghe Fantacalcio'!A:I,2,FALSE)),"",VLOOKUP(B142,'Leghe Fantacalcio'!A:I,2,FALSE))</f>
        <v/>
      </c>
      <c r="N142" s="1">
        <f t="shared" si="10"/>
        <v>7473</v>
      </c>
      <c r="O142" s="1">
        <f>IFERROR(VLOOKUP(N142,'Leghe Fantacalcio'!B:I,8,FALSE),0)</f>
        <v>9</v>
      </c>
      <c r="P142" s="1" t="str">
        <f t="shared" si="11"/>
        <v>update giocatori set fvm = 9 where id = 1120507;</v>
      </c>
    </row>
    <row r="143" spans="1:16" x14ac:dyDescent="0.25">
      <c r="A143" s="1" t="str">
        <f t="shared" si="8"/>
        <v>CittadiniFrosinone</v>
      </c>
      <c r="B143" s="1" t="str">
        <f t="shared" si="9"/>
        <v>Cittadini G.Frosinone</v>
      </c>
      <c r="C143" s="1">
        <v>1112395</v>
      </c>
      <c r="D143" s="1" t="s">
        <v>203</v>
      </c>
      <c r="E143" s="1" t="s">
        <v>575</v>
      </c>
      <c r="F143" s="1" t="s">
        <v>30</v>
      </c>
      <c r="G143" s="1" t="s">
        <v>92</v>
      </c>
      <c r="H143" s="1">
        <v>6</v>
      </c>
      <c r="I143" s="1">
        <v>3</v>
      </c>
      <c r="J143" s="1" t="str">
        <f>VLOOKUP(A143,'Leghe Fantacalcio'!A:I,1,FALSE)</f>
        <v>CittadiniFrosinone</v>
      </c>
      <c r="K143" s="1" t="e">
        <f>VLOOKUP(B143,'Leghe Fantacalcio'!A:I,1,FALSE)</f>
        <v>#N/A</v>
      </c>
      <c r="L143" s="1">
        <f>IF(ISNA(VLOOKUP(A143,'Leghe Fantacalcio'!A:I,2,FALSE)),"",VLOOKUP(A143,'Leghe Fantacalcio'!A:I,2,FALSE))</f>
        <v>5757</v>
      </c>
      <c r="M143" s="1" t="str">
        <f>IF(ISNA(VLOOKUP(B143,'Leghe Fantacalcio'!A:I,2,FALSE)),"",VLOOKUP(B143,'Leghe Fantacalcio'!A:I,2,FALSE))</f>
        <v/>
      </c>
      <c r="N143" s="1">
        <f t="shared" si="10"/>
        <v>5757</v>
      </c>
      <c r="O143" s="1">
        <f>IFERROR(VLOOKUP(N143,'Leghe Fantacalcio'!B:I,8,FALSE),0)</f>
        <v>11</v>
      </c>
      <c r="P143" s="1" t="str">
        <f t="shared" si="11"/>
        <v>update giocatori set fvm = 11 where id = 1112395;</v>
      </c>
    </row>
    <row r="144" spans="1:16" x14ac:dyDescent="0.25">
      <c r="A144" s="1" t="str">
        <f t="shared" si="8"/>
        <v>DesplanchesFrosinone</v>
      </c>
      <c r="B144" s="1" t="str">
        <f t="shared" si="9"/>
        <v>Desplanches S.Frosinone</v>
      </c>
      <c r="C144" s="1">
        <v>1111597</v>
      </c>
      <c r="D144" s="1" t="s">
        <v>60</v>
      </c>
      <c r="E144" s="1" t="s">
        <v>580</v>
      </c>
      <c r="F144" s="1" t="s">
        <v>30</v>
      </c>
      <c r="G144" s="1" t="s">
        <v>8</v>
      </c>
      <c r="H144" s="1">
        <v>6</v>
      </c>
      <c r="I144" s="1">
        <v>1</v>
      </c>
      <c r="J144" s="1" t="str">
        <f>VLOOKUP(A144,'Leghe Fantacalcio'!A:I,1,FALSE)</f>
        <v>DesplanchesFrosinone</v>
      </c>
      <c r="K144" s="1" t="e">
        <f>VLOOKUP(B144,'Leghe Fantacalcio'!A:I,1,FALSE)</f>
        <v>#N/A</v>
      </c>
      <c r="L144" s="1">
        <f>IF(ISNA(VLOOKUP(A144,'Leghe Fantacalcio'!A:I,2,FALSE)),"",VLOOKUP(A144,'Leghe Fantacalcio'!A:I,2,FALSE))</f>
        <v>7463</v>
      </c>
      <c r="M144" s="1" t="str">
        <f>IF(ISNA(VLOOKUP(B144,'Leghe Fantacalcio'!A:I,2,FALSE)),"",VLOOKUP(B144,'Leghe Fantacalcio'!A:I,2,FALSE))</f>
        <v/>
      </c>
      <c r="N144" s="1">
        <f t="shared" si="10"/>
        <v>7463</v>
      </c>
      <c r="O144" s="1">
        <f>IFERROR(VLOOKUP(N144,'Leghe Fantacalcio'!B:I,8,FALSE),0)</f>
        <v>1</v>
      </c>
      <c r="P144" s="1" t="str">
        <f t="shared" si="11"/>
        <v>update giocatori set fvm = 1 where id = 1111597;</v>
      </c>
    </row>
    <row r="145" spans="1:16" x14ac:dyDescent="0.25">
      <c r="A145" s="1" t="str">
        <f t="shared" si="8"/>
        <v>El AzzouziFrosinone</v>
      </c>
      <c r="B145" s="1" t="str">
        <f t="shared" si="9"/>
        <v>El Azzouzi A.Frosinone</v>
      </c>
      <c r="C145" s="1">
        <v>1120505</v>
      </c>
      <c r="D145" s="1" t="s">
        <v>615</v>
      </c>
      <c r="E145" s="1" t="s">
        <v>584</v>
      </c>
      <c r="F145" s="1" t="s">
        <v>30</v>
      </c>
      <c r="G145" s="1" t="s">
        <v>92</v>
      </c>
      <c r="H145" s="1">
        <v>6</v>
      </c>
      <c r="I145" s="1">
        <v>1</v>
      </c>
      <c r="J145" s="1" t="e">
        <f>VLOOKUP(A145,'Leghe Fantacalcio'!A:I,1,FALSE)</f>
        <v>#N/A</v>
      </c>
      <c r="K145" s="1" t="str">
        <f>VLOOKUP(B145,'Leghe Fantacalcio'!A:I,1,FALSE)</f>
        <v>El Azzouzi A.Frosinone</v>
      </c>
      <c r="L145" s="1" t="str">
        <f>IF(ISNA(VLOOKUP(A145,'Leghe Fantacalcio'!A:I,2,FALSE)),"",VLOOKUP(A145,'Leghe Fantacalcio'!A:I,2,FALSE))</f>
        <v/>
      </c>
      <c r="M145" s="1">
        <f>IF(ISNA(VLOOKUP(B145,'Leghe Fantacalcio'!A:I,2,FALSE)),"",VLOOKUP(B145,'Leghe Fantacalcio'!A:I,2,FALSE))</f>
        <v>7456</v>
      </c>
      <c r="N145" s="1">
        <f t="shared" si="10"/>
        <v>7456</v>
      </c>
      <c r="O145" s="1">
        <f>IFERROR(VLOOKUP(N145,'Leghe Fantacalcio'!B:I,8,FALSE),0)</f>
        <v>1</v>
      </c>
      <c r="P145" s="1" t="str">
        <f t="shared" si="11"/>
        <v>update giocatori set fvm = 1 where id = 1120505;</v>
      </c>
    </row>
    <row r="146" spans="1:16" ht="14.5" x14ac:dyDescent="0.35">
      <c r="A146" s="1" t="str">
        <f t="shared" si="8"/>
        <v>Fini Frosinone</v>
      </c>
      <c r="B146" s="1" t="str">
        <f t="shared" si="9"/>
        <v>Fini  S.Frosinone</v>
      </c>
      <c r="C146" s="1">
        <v>1116509</v>
      </c>
      <c r="D146" t="s">
        <v>398</v>
      </c>
      <c r="E146" s="1" t="s">
        <v>580</v>
      </c>
      <c r="F146" s="1" t="s">
        <v>30</v>
      </c>
      <c r="G146" s="1" t="s">
        <v>478</v>
      </c>
      <c r="H146" s="1">
        <v>6</v>
      </c>
      <c r="I146" s="1">
        <v>11</v>
      </c>
      <c r="J146" s="1" t="str">
        <f>VLOOKUP(A146,'Leghe Fantacalcio'!A:I,1,FALSE)</f>
        <v>Fini Frosinone</v>
      </c>
      <c r="K146" s="1" t="e">
        <f>VLOOKUP(B146,'Leghe Fantacalcio'!A:I,1,FALSE)</f>
        <v>#N/A</v>
      </c>
      <c r="L146" s="1">
        <f>IF(ISNA(VLOOKUP(A146,'Leghe Fantacalcio'!A:I,2,FALSE)),"",VLOOKUP(A146,'Leghe Fantacalcio'!A:I,2,FALSE))</f>
        <v>6506</v>
      </c>
      <c r="M146" s="1" t="str">
        <f>IF(ISNA(VLOOKUP(B146,'Leghe Fantacalcio'!A:I,2,FALSE)),"",VLOOKUP(B146,'Leghe Fantacalcio'!A:I,2,FALSE))</f>
        <v/>
      </c>
      <c r="N146" s="1">
        <f t="shared" si="10"/>
        <v>6506</v>
      </c>
      <c r="O146" s="1">
        <f>IFERROR(VLOOKUP(N146,'Leghe Fantacalcio'!B:I,8,FALSE),0)</f>
        <v>11</v>
      </c>
      <c r="P146" s="1" t="str">
        <f t="shared" si="11"/>
        <v>update giocatori set fvm = 11 where id = 1116509;</v>
      </c>
    </row>
    <row r="147" spans="1:16" x14ac:dyDescent="0.25">
      <c r="A147" s="1" t="str">
        <f t="shared" si="8"/>
        <v>GelliFrosinone</v>
      </c>
      <c r="B147" s="1" t="str">
        <f t="shared" si="9"/>
        <v>Gelli F.Frosinone</v>
      </c>
      <c r="C147" s="1">
        <v>1116391</v>
      </c>
      <c r="D147" s="1" t="s">
        <v>617</v>
      </c>
      <c r="E147" s="1" t="s">
        <v>589</v>
      </c>
      <c r="F147" s="1" t="s">
        <v>30</v>
      </c>
      <c r="G147" s="1" t="s">
        <v>92</v>
      </c>
      <c r="H147" s="1">
        <v>6</v>
      </c>
      <c r="I147" s="1">
        <v>1</v>
      </c>
      <c r="J147" s="1" t="e">
        <f>VLOOKUP(A147,'Leghe Fantacalcio'!A:I,1,FALSE)</f>
        <v>#N/A</v>
      </c>
      <c r="K147" s="1" t="str">
        <f>VLOOKUP(B147,'Leghe Fantacalcio'!A:I,1,FALSE)</f>
        <v>Gelli F.Frosinone</v>
      </c>
      <c r="L147" s="1" t="str">
        <f>IF(ISNA(VLOOKUP(A147,'Leghe Fantacalcio'!A:I,2,FALSE)),"",VLOOKUP(A147,'Leghe Fantacalcio'!A:I,2,FALSE))</f>
        <v/>
      </c>
      <c r="M147" s="1">
        <f>IF(ISNA(VLOOKUP(B147,'Leghe Fantacalcio'!A:I,2,FALSE)),"",VLOOKUP(B147,'Leghe Fantacalcio'!A:I,2,FALSE))</f>
        <v>6241</v>
      </c>
      <c r="N147" s="1">
        <f t="shared" si="10"/>
        <v>6241</v>
      </c>
      <c r="O147" s="1">
        <f>IFERROR(VLOOKUP(N147,'Leghe Fantacalcio'!B:I,8,FALSE),0)</f>
        <v>6</v>
      </c>
      <c r="P147" s="1" t="str">
        <f t="shared" si="11"/>
        <v>update giocatori set fvm = 6 where id = 1116391;</v>
      </c>
    </row>
    <row r="148" spans="1:16" x14ac:dyDescent="0.25">
      <c r="A148" s="1" t="str">
        <f t="shared" si="8"/>
        <v>GhedjemisFrosinone</v>
      </c>
      <c r="B148" s="1" t="str">
        <f t="shared" si="9"/>
        <v>Ghedjemis F.Frosinone</v>
      </c>
      <c r="C148" s="1">
        <v>1118899</v>
      </c>
      <c r="D148" s="1" t="s">
        <v>512</v>
      </c>
      <c r="E148" s="1" t="s">
        <v>589</v>
      </c>
      <c r="F148" s="1" t="s">
        <v>30</v>
      </c>
      <c r="G148" s="1" t="s">
        <v>478</v>
      </c>
      <c r="H148" s="1">
        <v>6</v>
      </c>
      <c r="I148" s="1">
        <v>21</v>
      </c>
      <c r="J148" s="1" t="str">
        <f>VLOOKUP(A148,'Leghe Fantacalcio'!A:I,1,FALSE)</f>
        <v>GhedjemisFrosinone</v>
      </c>
      <c r="K148" s="1" t="e">
        <f>VLOOKUP(B148,'Leghe Fantacalcio'!A:I,1,FALSE)</f>
        <v>#N/A</v>
      </c>
      <c r="L148" s="1">
        <f>IF(ISNA(VLOOKUP(A148,'Leghe Fantacalcio'!A:I,2,FALSE)),"",VLOOKUP(A148,'Leghe Fantacalcio'!A:I,2,FALSE))</f>
        <v>6530</v>
      </c>
      <c r="M148" s="1" t="str">
        <f>IF(ISNA(VLOOKUP(B148,'Leghe Fantacalcio'!A:I,2,FALSE)),"",VLOOKUP(B148,'Leghe Fantacalcio'!A:I,2,FALSE))</f>
        <v/>
      </c>
      <c r="N148" s="1">
        <f t="shared" si="10"/>
        <v>6530</v>
      </c>
      <c r="O148" s="1">
        <f>IFERROR(VLOOKUP(N148,'Leghe Fantacalcio'!B:I,8,FALSE),0)</f>
        <v>31</v>
      </c>
      <c r="P148" s="1" t="str">
        <f t="shared" si="11"/>
        <v>update giocatori set fvm = 31 where id = 1118899;</v>
      </c>
    </row>
    <row r="149" spans="1:16" x14ac:dyDescent="0.25">
      <c r="A149" s="1" t="str">
        <f t="shared" si="8"/>
        <v>GrillitschFrosinone</v>
      </c>
      <c r="B149" s="1" t="str">
        <f t="shared" si="9"/>
        <v>Grillitsch F.Frosinone</v>
      </c>
      <c r="C149" s="1">
        <v>1051864</v>
      </c>
      <c r="D149" s="1" t="s">
        <v>432</v>
      </c>
      <c r="E149" s="1" t="s">
        <v>589</v>
      </c>
      <c r="F149" s="1" t="s">
        <v>30</v>
      </c>
      <c r="G149" s="1" t="s">
        <v>283</v>
      </c>
      <c r="H149" s="1">
        <v>6</v>
      </c>
      <c r="I149" s="1">
        <v>8</v>
      </c>
      <c r="J149" s="1" t="str">
        <f>VLOOKUP(A149,'Leghe Fantacalcio'!A:I,1,FALSE)</f>
        <v>GrillitschFrosinone</v>
      </c>
      <c r="K149" s="1" t="e">
        <f>VLOOKUP(B149,'Leghe Fantacalcio'!A:I,1,FALSE)</f>
        <v>#N/A</v>
      </c>
      <c r="L149" s="1">
        <f>IF(ISNA(VLOOKUP(A149,'Leghe Fantacalcio'!A:I,2,FALSE)),"",VLOOKUP(A149,'Leghe Fantacalcio'!A:I,2,FALSE))</f>
        <v>7550</v>
      </c>
      <c r="M149" s="1" t="str">
        <f>IF(ISNA(VLOOKUP(B149,'Leghe Fantacalcio'!A:I,2,FALSE)),"",VLOOKUP(B149,'Leghe Fantacalcio'!A:I,2,FALSE))</f>
        <v/>
      </c>
      <c r="N149" s="1">
        <f t="shared" si="10"/>
        <v>7550</v>
      </c>
      <c r="O149" s="1">
        <f>IFERROR(VLOOKUP(N149,'Leghe Fantacalcio'!B:I,8,FALSE),0)</f>
        <v>9</v>
      </c>
      <c r="P149" s="1" t="str">
        <f t="shared" si="11"/>
        <v>update giocatori set fvm = 9 where id = 1051864;</v>
      </c>
    </row>
    <row r="150" spans="1:16" x14ac:dyDescent="0.25">
      <c r="A150" s="1" t="str">
        <f t="shared" si="8"/>
        <v>HasaFrosinone</v>
      </c>
      <c r="B150" s="1" t="str">
        <f t="shared" si="9"/>
        <v>Hasa L.Frosinone</v>
      </c>
      <c r="C150" s="1">
        <v>1118972</v>
      </c>
      <c r="D150" s="1" t="s">
        <v>436</v>
      </c>
      <c r="E150" s="1" t="s">
        <v>590</v>
      </c>
      <c r="F150" s="1" t="s">
        <v>30</v>
      </c>
      <c r="G150" s="1" t="s">
        <v>283</v>
      </c>
      <c r="H150" s="1">
        <v>6</v>
      </c>
      <c r="I150" s="1">
        <v>4</v>
      </c>
      <c r="J150" s="1" t="str">
        <f>VLOOKUP(A150,'Leghe Fantacalcio'!A:I,1,FALSE)</f>
        <v>HasaFrosinone</v>
      </c>
      <c r="K150" s="1" t="e">
        <f>VLOOKUP(B150,'Leghe Fantacalcio'!A:I,1,FALSE)</f>
        <v>#N/A</v>
      </c>
      <c r="L150" s="1">
        <f>IF(ISNA(VLOOKUP(A150,'Leghe Fantacalcio'!A:I,2,FALSE)),"",VLOOKUP(A150,'Leghe Fantacalcio'!A:I,2,FALSE))</f>
        <v>6903</v>
      </c>
      <c r="M150" s="1" t="str">
        <f>IF(ISNA(VLOOKUP(B150,'Leghe Fantacalcio'!A:I,2,FALSE)),"",VLOOKUP(B150,'Leghe Fantacalcio'!A:I,2,FALSE))</f>
        <v/>
      </c>
      <c r="N150" s="1">
        <f t="shared" si="10"/>
        <v>6903</v>
      </c>
      <c r="O150" s="1">
        <f>IFERROR(VLOOKUP(N150,'Leghe Fantacalcio'!B:I,8,FALSE),0)</f>
        <v>5</v>
      </c>
      <c r="P150" s="1" t="str">
        <f t="shared" si="11"/>
        <v>update giocatori set fvm = 5 where id = 1118972;</v>
      </c>
    </row>
    <row r="151" spans="1:16" x14ac:dyDescent="0.25">
      <c r="A151" s="1" t="str">
        <f t="shared" si="8"/>
        <v>KoneFrosinone</v>
      </c>
      <c r="B151" s="1" t="str">
        <f t="shared" si="9"/>
        <v>Kone B.Frosinone</v>
      </c>
      <c r="C151" s="1">
        <v>1065539</v>
      </c>
      <c r="D151" s="1" t="s">
        <v>650</v>
      </c>
      <c r="E151" s="1" t="s">
        <v>597</v>
      </c>
      <c r="F151" s="1" t="s">
        <v>30</v>
      </c>
      <c r="G151" s="1" t="s">
        <v>283</v>
      </c>
      <c r="H151" s="1">
        <v>6</v>
      </c>
      <c r="I151" s="1">
        <v>5</v>
      </c>
      <c r="J151" s="1" t="e">
        <f>VLOOKUP(A151,'Leghe Fantacalcio'!A:I,1,FALSE)</f>
        <v>#N/A</v>
      </c>
      <c r="K151" s="1" t="str">
        <f>VLOOKUP(B151,'Leghe Fantacalcio'!A:I,1,FALSE)</f>
        <v>Kone B.Frosinone</v>
      </c>
      <c r="L151" s="1" t="str">
        <f>IF(ISNA(VLOOKUP(A151,'Leghe Fantacalcio'!A:I,2,FALSE)),"",VLOOKUP(A151,'Leghe Fantacalcio'!A:I,2,FALSE))</f>
        <v/>
      </c>
      <c r="M151" s="1">
        <f>IF(ISNA(VLOOKUP(B151,'Leghe Fantacalcio'!A:I,2,FALSE)),"",VLOOKUP(B151,'Leghe Fantacalcio'!A:I,2,FALSE))</f>
        <v>5725</v>
      </c>
      <c r="N151" s="1">
        <f t="shared" si="10"/>
        <v>5725</v>
      </c>
      <c r="O151" s="1">
        <f>IFERROR(VLOOKUP(N151,'Leghe Fantacalcio'!B:I,8,FALSE),0)</f>
        <v>3</v>
      </c>
      <c r="P151" s="1" t="str">
        <f t="shared" si="11"/>
        <v>update giocatori set fvm = 3 where id = 1065539;</v>
      </c>
    </row>
    <row r="152" spans="1:16" x14ac:dyDescent="0.25">
      <c r="A152" s="1" t="str">
        <f t="shared" si="8"/>
        <v>KvernadzeFrosinone</v>
      </c>
      <c r="B152" s="1" t="str">
        <f t="shared" si="9"/>
        <v>Kvernadze G.Frosinone</v>
      </c>
      <c r="C152" s="1">
        <v>1116477</v>
      </c>
      <c r="D152" s="1" t="s">
        <v>513</v>
      </c>
      <c r="E152" s="1" t="s">
        <v>575</v>
      </c>
      <c r="F152" s="1" t="s">
        <v>30</v>
      </c>
      <c r="G152" s="1" t="s">
        <v>478</v>
      </c>
      <c r="H152" s="1">
        <v>6</v>
      </c>
      <c r="I152" s="1">
        <v>24</v>
      </c>
      <c r="J152" s="1" t="str">
        <f>VLOOKUP(A152,'Leghe Fantacalcio'!A:I,1,FALSE)</f>
        <v>KvernadzeFrosinone</v>
      </c>
      <c r="K152" s="1" t="e">
        <f>VLOOKUP(B152,'Leghe Fantacalcio'!A:I,1,FALSE)</f>
        <v>#N/A</v>
      </c>
      <c r="L152" s="1">
        <f>IF(ISNA(VLOOKUP(A152,'Leghe Fantacalcio'!A:I,2,FALSE)),"",VLOOKUP(A152,'Leghe Fantacalcio'!A:I,2,FALSE))</f>
        <v>6204</v>
      </c>
      <c r="M152" s="1" t="str">
        <f>IF(ISNA(VLOOKUP(B152,'Leghe Fantacalcio'!A:I,2,FALSE)),"",VLOOKUP(B152,'Leghe Fantacalcio'!A:I,2,FALSE))</f>
        <v/>
      </c>
      <c r="N152" s="1">
        <f t="shared" si="10"/>
        <v>6204</v>
      </c>
      <c r="O152" s="1">
        <f>IFERROR(VLOOKUP(N152,'Leghe Fantacalcio'!B:I,8,FALSE),0)</f>
        <v>50</v>
      </c>
      <c r="P152" s="1" t="str">
        <f t="shared" si="11"/>
        <v>update giocatori set fvm = 50 where id = 1116477;</v>
      </c>
    </row>
    <row r="153" spans="1:16" x14ac:dyDescent="0.25">
      <c r="A153" s="1" t="str">
        <f t="shared" si="8"/>
        <v>MasiniFrosinone</v>
      </c>
      <c r="B153" s="1" t="str">
        <f t="shared" si="9"/>
        <v>Masini P.Frosinone</v>
      </c>
      <c r="C153" s="1">
        <v>1110125</v>
      </c>
      <c r="D153" s="1" t="s">
        <v>367</v>
      </c>
      <c r="E153" s="1" t="s">
        <v>585</v>
      </c>
      <c r="F153" s="1" t="s">
        <v>30</v>
      </c>
      <c r="G153" s="1" t="s">
        <v>283</v>
      </c>
      <c r="H153" s="1">
        <v>6</v>
      </c>
      <c r="I153" s="1">
        <v>15</v>
      </c>
      <c r="J153" s="1" t="str">
        <f>VLOOKUP(A153,'Leghe Fantacalcio'!A:I,1,FALSE)</f>
        <v>MasiniFrosinone</v>
      </c>
      <c r="K153" s="1" t="e">
        <f>VLOOKUP(B153,'Leghe Fantacalcio'!A:I,1,FALSE)</f>
        <v>#N/A</v>
      </c>
      <c r="L153" s="1">
        <f>IF(ISNA(VLOOKUP(A153,'Leghe Fantacalcio'!A:I,2,FALSE)),"",VLOOKUP(A153,'Leghe Fantacalcio'!A:I,2,FALSE))</f>
        <v>6917</v>
      </c>
      <c r="M153" s="1" t="str">
        <f>IF(ISNA(VLOOKUP(B153,'Leghe Fantacalcio'!A:I,2,FALSE)),"",VLOOKUP(B153,'Leghe Fantacalcio'!A:I,2,FALSE))</f>
        <v/>
      </c>
      <c r="N153" s="1">
        <f t="shared" si="10"/>
        <v>6917</v>
      </c>
      <c r="O153" s="1">
        <f>IFERROR(VLOOKUP(N153,'Leghe Fantacalcio'!B:I,8,FALSE),0)</f>
        <v>13</v>
      </c>
      <c r="P153" s="1" t="str">
        <f t="shared" si="11"/>
        <v>update giocatori set fvm = 13 where id = 1110125;</v>
      </c>
    </row>
    <row r="154" spans="1:16" x14ac:dyDescent="0.25">
      <c r="A154" s="1" t="str">
        <f t="shared" si="8"/>
        <v>MonterisiFrosinone</v>
      </c>
      <c r="B154" s="1" t="str">
        <f t="shared" si="9"/>
        <v>Monterisi I.Frosinone</v>
      </c>
      <c r="C154" s="1">
        <v>1078237</v>
      </c>
      <c r="D154" s="1" t="s">
        <v>149</v>
      </c>
      <c r="E154" s="1" t="s">
        <v>600</v>
      </c>
      <c r="F154" s="1" t="s">
        <v>30</v>
      </c>
      <c r="G154" s="1" t="s">
        <v>92</v>
      </c>
      <c r="H154" s="1">
        <v>6</v>
      </c>
      <c r="I154" s="1">
        <v>7</v>
      </c>
      <c r="J154" s="1" t="str">
        <f>VLOOKUP(A154,'Leghe Fantacalcio'!A:I,1,FALSE)</f>
        <v>MonterisiFrosinone</v>
      </c>
      <c r="K154" s="1" t="e">
        <f>VLOOKUP(B154,'Leghe Fantacalcio'!A:I,1,FALSE)</f>
        <v>#N/A</v>
      </c>
      <c r="L154" s="1">
        <f>IF(ISNA(VLOOKUP(A154,'Leghe Fantacalcio'!A:I,2,FALSE)),"",VLOOKUP(A154,'Leghe Fantacalcio'!A:I,2,FALSE))</f>
        <v>4952</v>
      </c>
      <c r="M154" s="1" t="str">
        <f>IF(ISNA(VLOOKUP(B154,'Leghe Fantacalcio'!A:I,2,FALSE)),"",VLOOKUP(B154,'Leghe Fantacalcio'!A:I,2,FALSE))</f>
        <v/>
      </c>
      <c r="N154" s="1">
        <f t="shared" si="10"/>
        <v>4952</v>
      </c>
      <c r="O154" s="1">
        <f>IFERROR(VLOOKUP(N154,'Leghe Fantacalcio'!B:I,8,FALSE),0)</f>
        <v>12</v>
      </c>
      <c r="P154" s="1" t="str">
        <f t="shared" si="11"/>
        <v>update giocatori set fvm = 12 where id = 1078237;</v>
      </c>
    </row>
    <row r="155" spans="1:16" x14ac:dyDescent="0.25">
      <c r="A155" s="1" t="str">
        <f t="shared" si="8"/>
        <v>Omar FayedFrosinone</v>
      </c>
      <c r="B155" s="1" t="str">
        <f t="shared" si="9"/>
        <v>Omar Fayed Frosinone</v>
      </c>
      <c r="C155" s="1">
        <v>1120559</v>
      </c>
      <c r="D155" s="1" t="s">
        <v>278</v>
      </c>
      <c r="E155" s="1" t="s">
        <v>579</v>
      </c>
      <c r="F155" s="1" t="s">
        <v>30</v>
      </c>
      <c r="G155" s="1" t="s">
        <v>92</v>
      </c>
      <c r="H155" s="1">
        <v>6</v>
      </c>
      <c r="I155" s="1">
        <v>4</v>
      </c>
      <c r="J155" s="1" t="str">
        <f>VLOOKUP(A155,'Leghe Fantacalcio'!A:I,1,FALSE)</f>
        <v>Omar FayedFrosinone</v>
      </c>
      <c r="K155" s="1" t="e">
        <f>VLOOKUP(B155,'Leghe Fantacalcio'!A:I,1,FALSE)</f>
        <v>#N/A</v>
      </c>
      <c r="L155" s="1">
        <f>IF(ISNA(VLOOKUP(A155,'Leghe Fantacalcio'!A:I,2,FALSE)),"",VLOOKUP(A155,'Leghe Fantacalcio'!A:I,2,FALSE))</f>
        <v>7553</v>
      </c>
      <c r="M155" s="1" t="str">
        <f>IF(ISNA(VLOOKUP(B155,'Leghe Fantacalcio'!A:I,2,FALSE)),"",VLOOKUP(B155,'Leghe Fantacalcio'!A:I,2,FALSE))</f>
        <v/>
      </c>
      <c r="N155" s="1">
        <f t="shared" si="10"/>
        <v>7553</v>
      </c>
      <c r="O155" s="1">
        <f>IFERROR(VLOOKUP(N155,'Leghe Fantacalcio'!B:I,8,FALSE),0)</f>
        <v>1</v>
      </c>
      <c r="P155" s="1" t="str">
        <f t="shared" si="11"/>
        <v>update giocatori set fvm = 1 where id = 1120559;</v>
      </c>
    </row>
    <row r="156" spans="1:16" x14ac:dyDescent="0.25">
      <c r="A156" s="1" t="str">
        <f t="shared" si="8"/>
        <v>OyonoFrosinone</v>
      </c>
      <c r="B156" s="1" t="str">
        <f t="shared" si="9"/>
        <v>Oyono A.Frosinone</v>
      </c>
      <c r="C156" s="1">
        <v>1113048</v>
      </c>
      <c r="D156" s="1" t="s">
        <v>630</v>
      </c>
      <c r="E156" s="1" t="s">
        <v>584</v>
      </c>
      <c r="F156" s="1" t="s">
        <v>30</v>
      </c>
      <c r="G156" s="1" t="s">
        <v>92</v>
      </c>
      <c r="H156" s="1">
        <v>6</v>
      </c>
      <c r="I156" s="1">
        <v>8</v>
      </c>
      <c r="J156" s="1" t="e">
        <f>VLOOKUP(A156,'Leghe Fantacalcio'!A:I,1,FALSE)</f>
        <v>#N/A</v>
      </c>
      <c r="K156" s="1" t="str">
        <f>VLOOKUP(B156,'Leghe Fantacalcio'!A:I,1,FALSE)</f>
        <v>Oyono A.Frosinone</v>
      </c>
      <c r="L156" s="1" t="str">
        <f>IF(ISNA(VLOOKUP(A156,'Leghe Fantacalcio'!A:I,2,FALSE)),"",VLOOKUP(A156,'Leghe Fantacalcio'!A:I,2,FALSE))</f>
        <v/>
      </c>
      <c r="M156" s="1">
        <f>IF(ISNA(VLOOKUP(B156,'Leghe Fantacalcio'!A:I,2,FALSE)),"",VLOOKUP(B156,'Leghe Fantacalcio'!A:I,2,FALSE))</f>
        <v>6238</v>
      </c>
      <c r="N156" s="1">
        <f t="shared" si="10"/>
        <v>6238</v>
      </c>
      <c r="O156" s="1">
        <f>IFERROR(VLOOKUP(N156,'Leghe Fantacalcio'!B:I,8,FALSE),0)</f>
        <v>10</v>
      </c>
      <c r="P156" s="1" t="str">
        <f t="shared" si="11"/>
        <v>update giocatori set fvm = 10 where id = 1113048;</v>
      </c>
    </row>
    <row r="157" spans="1:16" x14ac:dyDescent="0.25">
      <c r="A157" s="1" t="str">
        <f t="shared" si="8"/>
        <v>PalmisaniFrosinone</v>
      </c>
      <c r="B157" s="1" t="str">
        <f t="shared" si="9"/>
        <v>Palmisani L.Frosinone</v>
      </c>
      <c r="C157" s="1">
        <v>1110653</v>
      </c>
      <c r="D157" s="1" t="s">
        <v>29</v>
      </c>
      <c r="E157" s="1" t="s">
        <v>590</v>
      </c>
      <c r="F157" s="1" t="s">
        <v>30</v>
      </c>
      <c r="G157" s="1" t="s">
        <v>8</v>
      </c>
      <c r="H157" s="1">
        <v>6</v>
      </c>
      <c r="I157" s="1">
        <v>12</v>
      </c>
      <c r="J157" s="1" t="str">
        <f>VLOOKUP(A157,'Leghe Fantacalcio'!A:I,1,FALSE)</f>
        <v>PalmisaniFrosinone</v>
      </c>
      <c r="K157" s="1" t="e">
        <f>VLOOKUP(B157,'Leghe Fantacalcio'!A:I,1,FALSE)</f>
        <v>#N/A</v>
      </c>
      <c r="L157" s="1">
        <f>IF(ISNA(VLOOKUP(A157,'Leghe Fantacalcio'!A:I,2,FALSE)),"",VLOOKUP(A157,'Leghe Fantacalcio'!A:I,2,FALSE))</f>
        <v>6415</v>
      </c>
      <c r="M157" s="1" t="str">
        <f>IF(ISNA(VLOOKUP(B157,'Leghe Fantacalcio'!A:I,2,FALSE)),"",VLOOKUP(B157,'Leghe Fantacalcio'!A:I,2,FALSE))</f>
        <v/>
      </c>
      <c r="N157" s="1">
        <f t="shared" si="10"/>
        <v>6415</v>
      </c>
      <c r="O157" s="1">
        <f>IFERROR(VLOOKUP(N157,'Leghe Fantacalcio'!B:I,8,FALSE),0)</f>
        <v>21</v>
      </c>
      <c r="P157" s="1" t="str">
        <f t="shared" si="11"/>
        <v>update giocatori set fvm = 21 where id = 1110653;</v>
      </c>
    </row>
    <row r="158" spans="1:16" x14ac:dyDescent="0.25">
      <c r="A158" s="1" t="str">
        <f t="shared" si="8"/>
        <v>PisseriFrosinone</v>
      </c>
      <c r="B158" s="1" t="str">
        <f t="shared" si="9"/>
        <v>Pisseri M.Frosinone</v>
      </c>
      <c r="C158" s="1">
        <v>1110495</v>
      </c>
      <c r="D158" s="1" t="s">
        <v>84</v>
      </c>
      <c r="E158" s="1" t="s">
        <v>572</v>
      </c>
      <c r="F158" s="1" t="s">
        <v>30</v>
      </c>
      <c r="G158" s="1" t="s">
        <v>8</v>
      </c>
      <c r="H158" s="1">
        <v>6</v>
      </c>
      <c r="I158" s="1">
        <v>1</v>
      </c>
      <c r="J158" s="1" t="str">
        <f>VLOOKUP(A158,'Leghe Fantacalcio'!A:I,1,FALSE)</f>
        <v>PisseriFrosinone</v>
      </c>
      <c r="K158" s="1" t="e">
        <f>VLOOKUP(B158,'Leghe Fantacalcio'!A:I,1,FALSE)</f>
        <v>#N/A</v>
      </c>
      <c r="L158" s="1">
        <f>IF(ISNA(VLOOKUP(A158,'Leghe Fantacalcio'!A:I,2,FALSE)),"",VLOOKUP(A158,'Leghe Fantacalcio'!A:I,2,FALSE))</f>
        <v>7560</v>
      </c>
      <c r="M158" s="1" t="str">
        <f>IF(ISNA(VLOOKUP(B158,'Leghe Fantacalcio'!A:I,2,FALSE)),"",VLOOKUP(B158,'Leghe Fantacalcio'!A:I,2,FALSE))</f>
        <v/>
      </c>
      <c r="N158" s="1">
        <f t="shared" si="10"/>
        <v>7560</v>
      </c>
      <c r="O158" s="1">
        <f>IFERROR(VLOOKUP(N158,'Leghe Fantacalcio'!B:I,8,FALSE),0)</f>
        <v>1</v>
      </c>
      <c r="P158" s="1" t="str">
        <f t="shared" si="11"/>
        <v>update giocatori set fvm = 1 where id = 1110495;</v>
      </c>
    </row>
    <row r="159" spans="1:16" x14ac:dyDescent="0.25">
      <c r="A159" s="1" t="str">
        <f t="shared" si="8"/>
        <v>RaimondoFrosinone</v>
      </c>
      <c r="B159" s="1" t="str">
        <f t="shared" si="9"/>
        <v>Raimondo A.Frosinone</v>
      </c>
      <c r="C159" s="1">
        <v>1109711</v>
      </c>
      <c r="D159" s="1" t="s">
        <v>508</v>
      </c>
      <c r="E159" s="1" t="s">
        <v>584</v>
      </c>
      <c r="F159" s="1" t="s">
        <v>30</v>
      </c>
      <c r="G159" s="1" t="s">
        <v>478</v>
      </c>
      <c r="H159" s="1">
        <v>6</v>
      </c>
      <c r="I159" s="1">
        <v>27</v>
      </c>
      <c r="J159" s="1" t="str">
        <f>VLOOKUP(A159,'Leghe Fantacalcio'!A:I,1,FALSE)</f>
        <v>RaimondoFrosinone</v>
      </c>
      <c r="K159" s="1" t="e">
        <f>VLOOKUP(B159,'Leghe Fantacalcio'!A:I,1,FALSE)</f>
        <v>#N/A</v>
      </c>
      <c r="L159" s="1">
        <f>IF(ISNA(VLOOKUP(A159,'Leghe Fantacalcio'!A:I,2,FALSE)),"",VLOOKUP(A159,'Leghe Fantacalcio'!A:I,2,FALSE))</f>
        <v>5436</v>
      </c>
      <c r="M159" s="1" t="str">
        <f>IF(ISNA(VLOOKUP(B159,'Leghe Fantacalcio'!A:I,2,FALSE)),"",VLOOKUP(B159,'Leghe Fantacalcio'!A:I,2,FALSE))</f>
        <v/>
      </c>
      <c r="N159" s="1">
        <f t="shared" si="10"/>
        <v>5436</v>
      </c>
      <c r="O159" s="1">
        <f>IFERROR(VLOOKUP(N159,'Leghe Fantacalcio'!B:I,8,FALSE),0)</f>
        <v>60</v>
      </c>
      <c r="P159" s="1" t="str">
        <f t="shared" si="11"/>
        <v>update giocatori set fvm = 60 where id = 1109711;</v>
      </c>
    </row>
    <row r="160" spans="1:16" x14ac:dyDescent="0.25">
      <c r="A160" s="1" t="str">
        <f t="shared" si="8"/>
        <v>SchmidFrosinone</v>
      </c>
      <c r="B160" s="1" t="str">
        <f t="shared" si="9"/>
        <v>Schmid R.Frosinone</v>
      </c>
      <c r="C160" s="1">
        <v>1059311</v>
      </c>
      <c r="D160" s="1" t="s">
        <v>327</v>
      </c>
      <c r="E160" s="1" t="s">
        <v>581</v>
      </c>
      <c r="F160" s="1" t="s">
        <v>30</v>
      </c>
      <c r="G160" s="1" t="s">
        <v>283</v>
      </c>
      <c r="H160" s="1">
        <v>6</v>
      </c>
      <c r="I160" s="1">
        <v>14</v>
      </c>
      <c r="J160" s="1" t="str">
        <f>VLOOKUP(A160,'Leghe Fantacalcio'!A:I,1,FALSE)</f>
        <v>SchmidFrosinone</v>
      </c>
      <c r="K160" s="1" t="e">
        <f>VLOOKUP(B160,'Leghe Fantacalcio'!A:I,1,FALSE)</f>
        <v>#N/A</v>
      </c>
      <c r="L160" s="1">
        <f>IF(ISNA(VLOOKUP(A160,'Leghe Fantacalcio'!A:I,2,FALSE)),"",VLOOKUP(A160,'Leghe Fantacalcio'!A:I,2,FALSE))</f>
        <v>7551</v>
      </c>
      <c r="M160" s="1" t="str">
        <f>IF(ISNA(VLOOKUP(B160,'Leghe Fantacalcio'!A:I,2,FALSE)),"",VLOOKUP(B160,'Leghe Fantacalcio'!A:I,2,FALSE))</f>
        <v/>
      </c>
      <c r="N160" s="1">
        <f t="shared" si="10"/>
        <v>7551</v>
      </c>
      <c r="O160" s="1">
        <f>IFERROR(VLOOKUP(N160,'Leghe Fantacalcio'!B:I,8,FALSE),0)</f>
        <v>38</v>
      </c>
      <c r="P160" s="1" t="str">
        <f t="shared" si="11"/>
        <v>update giocatori set fvm = 38 where id = 1059311;</v>
      </c>
    </row>
    <row r="161" spans="1:16" x14ac:dyDescent="0.25">
      <c r="A161" s="1" t="str">
        <f t="shared" si="8"/>
        <v>TchatoFrosinone</v>
      </c>
      <c r="B161" s="1" t="str">
        <f t="shared" si="9"/>
        <v>Tchato E.Frosinone</v>
      </c>
      <c r="C161" s="1">
        <v>1120616</v>
      </c>
      <c r="D161" s="1" t="s">
        <v>253</v>
      </c>
      <c r="E161" s="1" t="s">
        <v>573</v>
      </c>
      <c r="F161" s="1" t="s">
        <v>30</v>
      </c>
      <c r="G161" s="1" t="s">
        <v>92</v>
      </c>
      <c r="H161" s="1">
        <v>6</v>
      </c>
      <c r="I161" s="1">
        <v>7</v>
      </c>
      <c r="J161" s="1" t="str">
        <f>VLOOKUP(A161,'Leghe Fantacalcio'!A:I,1,FALSE)</f>
        <v>TchatoFrosinone</v>
      </c>
      <c r="K161" s="1" t="e">
        <f>VLOOKUP(B161,'Leghe Fantacalcio'!A:I,1,FALSE)</f>
        <v>#N/A</v>
      </c>
      <c r="L161" s="1">
        <f>IF(ISNA(VLOOKUP(A161,'Leghe Fantacalcio'!A:I,2,FALSE)),"",VLOOKUP(A161,'Leghe Fantacalcio'!A:I,2,FALSE))</f>
        <v>7605</v>
      </c>
      <c r="M161" s="1" t="str">
        <f>IF(ISNA(VLOOKUP(B161,'Leghe Fantacalcio'!A:I,2,FALSE)),"",VLOOKUP(B161,'Leghe Fantacalcio'!A:I,2,FALSE))</f>
        <v/>
      </c>
      <c r="N161" s="1">
        <f t="shared" si="10"/>
        <v>7605</v>
      </c>
      <c r="O161" s="1">
        <f>IFERROR(VLOOKUP(N161,'Leghe Fantacalcio'!B:I,8,FALSE),0)</f>
        <v>6</v>
      </c>
      <c r="P161" s="1" t="str">
        <f t="shared" si="11"/>
        <v>update giocatori set fvm = 6 where id = 1120616;</v>
      </c>
    </row>
    <row r="162" spans="1:16" x14ac:dyDescent="0.25">
      <c r="A162" s="1" t="str">
        <f t="shared" si="8"/>
        <v>TerzicFrosinone</v>
      </c>
      <c r="B162" s="1" t="str">
        <f t="shared" si="9"/>
        <v>Terzic A.Frosinone</v>
      </c>
      <c r="C162" s="1">
        <v>1063462</v>
      </c>
      <c r="D162" s="1" t="s">
        <v>220</v>
      </c>
      <c r="E162" s="1" t="s">
        <v>584</v>
      </c>
      <c r="F162" s="1" t="s">
        <v>30</v>
      </c>
      <c r="G162" s="1" t="s">
        <v>92</v>
      </c>
      <c r="H162" s="1">
        <v>6</v>
      </c>
      <c r="I162" s="1">
        <v>3</v>
      </c>
      <c r="J162" s="1" t="str">
        <f>VLOOKUP(A162,'Leghe Fantacalcio'!A:I,1,FALSE)</f>
        <v>TerzicFrosinone</v>
      </c>
      <c r="K162" s="1" t="e">
        <f>VLOOKUP(B162,'Leghe Fantacalcio'!A:I,1,FALSE)</f>
        <v>#N/A</v>
      </c>
      <c r="L162" s="1">
        <f>IF(ISNA(VLOOKUP(A162,'Leghe Fantacalcio'!A:I,2,FALSE)),"",VLOOKUP(A162,'Leghe Fantacalcio'!A:I,2,FALSE))</f>
        <v>4375</v>
      </c>
      <c r="M162" s="1" t="str">
        <f>IF(ISNA(VLOOKUP(B162,'Leghe Fantacalcio'!A:I,2,FALSE)),"",VLOOKUP(B162,'Leghe Fantacalcio'!A:I,2,FALSE))</f>
        <v/>
      </c>
      <c r="N162" s="1">
        <f t="shared" si="10"/>
        <v>4375</v>
      </c>
      <c r="O162" s="1">
        <f>IFERROR(VLOOKUP(N162,'Leghe Fantacalcio'!B:I,8,FALSE),0)</f>
        <v>5</v>
      </c>
      <c r="P162" s="1" t="str">
        <f t="shared" si="11"/>
        <v>update giocatori set fvm = 5 where id = 1063462;</v>
      </c>
    </row>
    <row r="163" spans="1:16" x14ac:dyDescent="0.25">
      <c r="A163" s="1" t="str">
        <f t="shared" si="8"/>
        <v>ZerbinFrosinone</v>
      </c>
      <c r="B163" s="1" t="str">
        <f t="shared" si="9"/>
        <v>Zerbin A.Frosinone</v>
      </c>
      <c r="C163" s="1">
        <v>1110520</v>
      </c>
      <c r="D163" s="1" t="s">
        <v>399</v>
      </c>
      <c r="E163" s="1" t="s">
        <v>584</v>
      </c>
      <c r="F163" s="1" t="s">
        <v>30</v>
      </c>
      <c r="G163" s="1" t="s">
        <v>283</v>
      </c>
      <c r="H163" s="1">
        <v>6</v>
      </c>
      <c r="I163" s="1">
        <v>9</v>
      </c>
      <c r="J163" s="1" t="str">
        <f>VLOOKUP(A163,'Leghe Fantacalcio'!A:I,1,FALSE)</f>
        <v>ZerbinFrosinone</v>
      </c>
      <c r="K163" s="1" t="e">
        <f>VLOOKUP(B163,'Leghe Fantacalcio'!A:I,1,FALSE)</f>
        <v>#N/A</v>
      </c>
      <c r="L163" s="1">
        <f>IF(ISNA(VLOOKUP(A163,'Leghe Fantacalcio'!A:I,2,FALSE)),"",VLOOKUP(A163,'Leghe Fantacalcio'!A:I,2,FALSE))</f>
        <v>5998</v>
      </c>
      <c r="M163" s="1" t="str">
        <f>IF(ISNA(VLOOKUP(B163,'Leghe Fantacalcio'!A:I,2,FALSE)),"",VLOOKUP(B163,'Leghe Fantacalcio'!A:I,2,FALSE))</f>
        <v/>
      </c>
      <c r="N163" s="1">
        <f t="shared" si="10"/>
        <v>5998</v>
      </c>
      <c r="O163" s="1">
        <f>IFERROR(VLOOKUP(N163,'Leghe Fantacalcio'!B:I,8,FALSE),0)</f>
        <v>11</v>
      </c>
      <c r="P163" s="1" t="str">
        <f t="shared" si="11"/>
        <v>update giocatori set fvm = 11 where id = 1110520;</v>
      </c>
    </row>
    <row r="164" spans="1:16" ht="14.5" x14ac:dyDescent="0.35">
      <c r="A164" s="1" t="str">
        <f t="shared" si="8"/>
        <v>AmorimGenoa</v>
      </c>
      <c r="B164" s="1" t="str">
        <f t="shared" si="9"/>
        <v>Amorim Genoa</v>
      </c>
      <c r="C164" s="1">
        <v>1120322</v>
      </c>
      <c r="D164" t="s">
        <v>415</v>
      </c>
      <c r="E164" s="1" t="s">
        <v>579</v>
      </c>
      <c r="F164" s="1" t="s">
        <v>42</v>
      </c>
      <c r="G164" s="1" t="s">
        <v>283</v>
      </c>
      <c r="H164" s="1">
        <v>6</v>
      </c>
      <c r="I164" s="1">
        <v>8</v>
      </c>
      <c r="J164" s="1" t="str">
        <f>VLOOKUP(A164,'Leghe Fantacalcio'!A:I,1,FALSE)</f>
        <v>AmorimGenoa</v>
      </c>
      <c r="K164" s="1" t="e">
        <f>VLOOKUP(B164,'Leghe Fantacalcio'!A:I,1,FALSE)</f>
        <v>#N/A</v>
      </c>
      <c r="L164" s="1">
        <f>IF(ISNA(VLOOKUP(A164,'Leghe Fantacalcio'!A:I,2,FALSE)),"",VLOOKUP(A164,'Leghe Fantacalcio'!A:I,2,FALSE))</f>
        <v>7341</v>
      </c>
      <c r="M164" s="1" t="str">
        <f>IF(ISNA(VLOOKUP(B164,'Leghe Fantacalcio'!A:I,2,FALSE)),"",VLOOKUP(B164,'Leghe Fantacalcio'!A:I,2,FALSE))</f>
        <v/>
      </c>
      <c r="N164" s="1">
        <f t="shared" si="10"/>
        <v>7341</v>
      </c>
      <c r="O164" s="1">
        <f>IFERROR(VLOOKUP(N164,'Leghe Fantacalcio'!B:I,8,FALSE),0)</f>
        <v>10</v>
      </c>
      <c r="P164" s="1" t="str">
        <f t="shared" si="11"/>
        <v>update giocatori set fvm = 10 where id = 1120322;</v>
      </c>
    </row>
    <row r="165" spans="1:16" x14ac:dyDescent="0.25">
      <c r="A165" s="1" t="str">
        <f t="shared" si="8"/>
        <v>BaldanziGenoa</v>
      </c>
      <c r="B165" s="1" t="str">
        <f t="shared" si="9"/>
        <v>Baldanzi T.Genoa</v>
      </c>
      <c r="C165" s="1">
        <v>1102850</v>
      </c>
      <c r="D165" s="1" t="s">
        <v>331</v>
      </c>
      <c r="E165" s="1" t="s">
        <v>599</v>
      </c>
      <c r="F165" s="1" t="s">
        <v>42</v>
      </c>
      <c r="G165" s="1" t="s">
        <v>283</v>
      </c>
      <c r="H165" s="1">
        <v>6</v>
      </c>
      <c r="I165" s="1">
        <v>18</v>
      </c>
      <c r="J165" s="1" t="str">
        <f>VLOOKUP(A165,'Leghe Fantacalcio'!A:I,1,FALSE)</f>
        <v>BaldanziGenoa</v>
      </c>
      <c r="K165" s="1" t="e">
        <f>VLOOKUP(B165,'Leghe Fantacalcio'!A:I,1,FALSE)</f>
        <v>#N/A</v>
      </c>
      <c r="L165" s="1">
        <f>IF(ISNA(VLOOKUP(A165,'Leghe Fantacalcio'!A:I,2,FALSE)),"",VLOOKUP(A165,'Leghe Fantacalcio'!A:I,2,FALSE))</f>
        <v>5823</v>
      </c>
      <c r="M165" s="1" t="str">
        <f>IF(ISNA(VLOOKUP(B165,'Leghe Fantacalcio'!A:I,2,FALSE)),"",VLOOKUP(B165,'Leghe Fantacalcio'!A:I,2,FALSE))</f>
        <v/>
      </c>
      <c r="N165" s="1">
        <f t="shared" si="10"/>
        <v>5823</v>
      </c>
      <c r="O165" s="1">
        <f>IFERROR(VLOOKUP(N165,'Leghe Fantacalcio'!B:I,8,FALSE),0)</f>
        <v>21</v>
      </c>
      <c r="P165" s="1" t="str">
        <f t="shared" si="11"/>
        <v>update giocatori set fvm = 21 where id = 1102850;</v>
      </c>
    </row>
    <row r="166" spans="1:16" x14ac:dyDescent="0.25">
      <c r="A166" s="1" t="str">
        <f t="shared" si="8"/>
        <v>BijlowGenoa</v>
      </c>
      <c r="B166" s="1" t="str">
        <f t="shared" si="9"/>
        <v>Bijlow J.Genoa</v>
      </c>
      <c r="C166" s="1">
        <v>1059898</v>
      </c>
      <c r="D166" s="1" t="s">
        <v>41</v>
      </c>
      <c r="E166" s="1" t="s">
        <v>571</v>
      </c>
      <c r="F166" s="1" t="s">
        <v>42</v>
      </c>
      <c r="G166" s="1" t="s">
        <v>8</v>
      </c>
      <c r="H166" s="1">
        <v>6</v>
      </c>
      <c r="I166" s="1">
        <v>9</v>
      </c>
      <c r="J166" s="1" t="str">
        <f>VLOOKUP(A166,'Leghe Fantacalcio'!A:I,1,FALSE)</f>
        <v>BijlowGenoa</v>
      </c>
      <c r="K166" s="1" t="e">
        <f>VLOOKUP(B166,'Leghe Fantacalcio'!A:I,1,FALSE)</f>
        <v>#N/A</v>
      </c>
      <c r="L166" s="1">
        <f>IF(ISNA(VLOOKUP(A166,'Leghe Fantacalcio'!A:I,2,FALSE)),"",VLOOKUP(A166,'Leghe Fantacalcio'!A:I,2,FALSE))</f>
        <v>7332</v>
      </c>
      <c r="M166" s="1" t="str">
        <f>IF(ISNA(VLOOKUP(B166,'Leghe Fantacalcio'!A:I,2,FALSE)),"",VLOOKUP(B166,'Leghe Fantacalcio'!A:I,2,FALSE))</f>
        <v/>
      </c>
      <c r="N166" s="1">
        <f t="shared" si="10"/>
        <v>7332</v>
      </c>
      <c r="O166" s="1">
        <f>IFERROR(VLOOKUP(N166,'Leghe Fantacalcio'!B:I,8,FALSE),0)</f>
        <v>11</v>
      </c>
      <c r="P166" s="1" t="str">
        <f t="shared" si="11"/>
        <v>update giocatori set fvm = 11 where id = 1059898;</v>
      </c>
    </row>
    <row r="167" spans="1:16" x14ac:dyDescent="0.25">
      <c r="A167" s="1" t="str">
        <f t="shared" si="8"/>
        <v>ColomboGenoa</v>
      </c>
      <c r="B167" s="1" t="str">
        <f t="shared" si="9"/>
        <v>Colombo L.Genoa</v>
      </c>
      <c r="C167" s="1">
        <v>1095165</v>
      </c>
      <c r="D167" s="1" t="s">
        <v>515</v>
      </c>
      <c r="E167" s="1" t="s">
        <v>590</v>
      </c>
      <c r="F167" s="1" t="s">
        <v>42</v>
      </c>
      <c r="G167" s="1" t="s">
        <v>478</v>
      </c>
      <c r="H167" s="1">
        <v>6</v>
      </c>
      <c r="I167" s="1">
        <v>29</v>
      </c>
      <c r="J167" s="1" t="str">
        <f>VLOOKUP(A167,'Leghe Fantacalcio'!A:I,1,FALSE)</f>
        <v>ColomboGenoa</v>
      </c>
      <c r="K167" s="1" t="e">
        <f>VLOOKUP(B167,'Leghe Fantacalcio'!A:I,1,FALSE)</f>
        <v>#N/A</v>
      </c>
      <c r="L167" s="1">
        <f>IF(ISNA(VLOOKUP(A167,'Leghe Fantacalcio'!A:I,2,FALSE)),"",VLOOKUP(A167,'Leghe Fantacalcio'!A:I,2,FALSE))</f>
        <v>4923</v>
      </c>
      <c r="M167" s="1" t="str">
        <f>IF(ISNA(VLOOKUP(B167,'Leghe Fantacalcio'!A:I,2,FALSE)),"",VLOOKUP(B167,'Leghe Fantacalcio'!A:I,2,FALSE))</f>
        <v/>
      </c>
      <c r="N167" s="1">
        <f t="shared" si="10"/>
        <v>4923</v>
      </c>
      <c r="O167" s="1">
        <f>IFERROR(VLOOKUP(N167,'Leghe Fantacalcio'!B:I,8,FALSE),0)</f>
        <v>53</v>
      </c>
      <c r="P167" s="1" t="str">
        <f t="shared" si="11"/>
        <v>update giocatori set fvm = 53 where id = 1095165;</v>
      </c>
    </row>
    <row r="168" spans="1:16" x14ac:dyDescent="0.25">
      <c r="A168" s="1" t="str">
        <f t="shared" si="8"/>
        <v>DramehGenoa</v>
      </c>
      <c r="B168" s="1" t="str">
        <f t="shared" si="9"/>
        <v>Drameh C.Genoa</v>
      </c>
      <c r="C168" s="1">
        <v>1094899</v>
      </c>
      <c r="D168" s="1" t="s">
        <v>256</v>
      </c>
      <c r="E168" s="1" t="s">
        <v>592</v>
      </c>
      <c r="F168" s="1" t="s">
        <v>42</v>
      </c>
      <c r="G168" s="1" t="s">
        <v>92</v>
      </c>
      <c r="H168" s="1">
        <v>6</v>
      </c>
      <c r="I168" s="1">
        <v>10</v>
      </c>
      <c r="J168" s="1" t="str">
        <f>VLOOKUP(A168,'Leghe Fantacalcio'!A:I,1,FALSE)</f>
        <v>DramehGenoa</v>
      </c>
      <c r="K168" s="1" t="e">
        <f>VLOOKUP(B168,'Leghe Fantacalcio'!A:I,1,FALSE)</f>
        <v>#N/A</v>
      </c>
      <c r="L168" s="1">
        <f>IF(ISNA(VLOOKUP(A168,'Leghe Fantacalcio'!A:I,2,FALSE)),"",VLOOKUP(A168,'Leghe Fantacalcio'!A:I,2,FALSE))</f>
        <v>5742</v>
      </c>
      <c r="M168" s="1" t="str">
        <f>IF(ISNA(VLOOKUP(B168,'Leghe Fantacalcio'!A:I,2,FALSE)),"",VLOOKUP(B168,'Leghe Fantacalcio'!A:I,2,FALSE))</f>
        <v/>
      </c>
      <c r="N168" s="1">
        <f t="shared" si="10"/>
        <v>5742</v>
      </c>
      <c r="O168" s="1">
        <f>IFERROR(VLOOKUP(N168,'Leghe Fantacalcio'!B:I,8,FALSE),0)</f>
        <v>9</v>
      </c>
      <c r="P168" s="1" t="str">
        <f t="shared" si="11"/>
        <v>update giocatori set fvm = 9 where id = 1094899;</v>
      </c>
    </row>
    <row r="169" spans="1:16" x14ac:dyDescent="0.25">
      <c r="A169" s="1" t="str">
        <f t="shared" si="8"/>
        <v>EhizibueGenoa</v>
      </c>
      <c r="B169" s="1" t="str">
        <f t="shared" si="9"/>
        <v>Ehizibue K.Genoa</v>
      </c>
      <c r="C169" s="1">
        <v>1049392</v>
      </c>
      <c r="D169" s="1" t="s">
        <v>222</v>
      </c>
      <c r="E169" s="1" t="s">
        <v>586</v>
      </c>
      <c r="F169" s="1" t="s">
        <v>42</v>
      </c>
      <c r="G169" s="1" t="s">
        <v>92</v>
      </c>
      <c r="H169" s="1">
        <v>6</v>
      </c>
      <c r="I169" s="1">
        <v>12</v>
      </c>
      <c r="J169" s="1" t="str">
        <f>VLOOKUP(A169,'Leghe Fantacalcio'!A:I,1,FALSE)</f>
        <v>EhizibueGenoa</v>
      </c>
      <c r="K169" s="1" t="e">
        <f>VLOOKUP(B169,'Leghe Fantacalcio'!A:I,1,FALSE)</f>
        <v>#N/A</v>
      </c>
      <c r="L169" s="1">
        <f>IF(ISNA(VLOOKUP(A169,'Leghe Fantacalcio'!A:I,2,FALSE)),"",VLOOKUP(A169,'Leghe Fantacalcio'!A:I,2,FALSE))</f>
        <v>6047</v>
      </c>
      <c r="M169" s="1" t="str">
        <f>IF(ISNA(VLOOKUP(B169,'Leghe Fantacalcio'!A:I,2,FALSE)),"",VLOOKUP(B169,'Leghe Fantacalcio'!A:I,2,FALSE))</f>
        <v/>
      </c>
      <c r="N169" s="1">
        <f t="shared" si="10"/>
        <v>6047</v>
      </c>
      <c r="O169" s="1">
        <f>IFERROR(VLOOKUP(N169,'Leghe Fantacalcio'!B:I,8,FALSE),0)</f>
        <v>10</v>
      </c>
      <c r="P169" s="1" t="str">
        <f t="shared" si="11"/>
        <v>update giocatori set fvm = 10 where id = 1049392;</v>
      </c>
    </row>
    <row r="170" spans="1:16" x14ac:dyDescent="0.25">
      <c r="A170" s="1" t="str">
        <f t="shared" si="8"/>
        <v>El ShaarawyGenoa</v>
      </c>
      <c r="B170" s="1" t="str">
        <f t="shared" si="9"/>
        <v>El Shaarawy S.Genoa</v>
      </c>
      <c r="C170" s="1">
        <v>1017758</v>
      </c>
      <c r="D170" s="1" t="s">
        <v>377</v>
      </c>
      <c r="E170" s="1" t="s">
        <v>580</v>
      </c>
      <c r="F170" s="1" t="s">
        <v>42</v>
      </c>
      <c r="G170" s="1" t="s">
        <v>283</v>
      </c>
      <c r="H170" s="1">
        <v>6</v>
      </c>
      <c r="I170" s="1">
        <v>10</v>
      </c>
      <c r="J170" s="1" t="str">
        <f>VLOOKUP(A170,'Leghe Fantacalcio'!A:I,1,FALSE)</f>
        <v>El ShaarawyGenoa</v>
      </c>
      <c r="K170" s="1" t="e">
        <f>VLOOKUP(B170,'Leghe Fantacalcio'!A:I,1,FALSE)</f>
        <v>#N/A</v>
      </c>
      <c r="L170" s="1">
        <f>IF(ISNA(VLOOKUP(A170,'Leghe Fantacalcio'!A:I,2,FALSE)),"",VLOOKUP(A170,'Leghe Fantacalcio'!A:I,2,FALSE))</f>
        <v>795</v>
      </c>
      <c r="M170" s="1" t="str">
        <f>IF(ISNA(VLOOKUP(B170,'Leghe Fantacalcio'!A:I,2,FALSE)),"",VLOOKUP(B170,'Leghe Fantacalcio'!A:I,2,FALSE))</f>
        <v/>
      </c>
      <c r="N170" s="1">
        <f t="shared" si="10"/>
        <v>795</v>
      </c>
      <c r="O170" s="1">
        <f>IFERROR(VLOOKUP(N170,'Leghe Fantacalcio'!B:I,8,FALSE),0)</f>
        <v>12</v>
      </c>
      <c r="P170" s="1" t="str">
        <f t="shared" si="11"/>
        <v>update giocatori set fvm = 12 where id = 1017758;</v>
      </c>
    </row>
    <row r="171" spans="1:16" x14ac:dyDescent="0.25">
      <c r="A171" s="1" t="str">
        <f t="shared" si="8"/>
        <v>EllertssonGenoa</v>
      </c>
      <c r="B171" s="1" t="str">
        <f t="shared" si="9"/>
        <v>Ellertsson M.Genoa</v>
      </c>
      <c r="C171" s="1">
        <v>1110634</v>
      </c>
      <c r="D171" s="1" t="s">
        <v>400</v>
      </c>
      <c r="E171" s="1" t="s">
        <v>572</v>
      </c>
      <c r="F171" s="1" t="s">
        <v>42</v>
      </c>
      <c r="G171" s="1" t="s">
        <v>283</v>
      </c>
      <c r="H171" s="1">
        <v>6</v>
      </c>
      <c r="I171" s="1">
        <v>14</v>
      </c>
      <c r="J171" s="1" t="str">
        <f>VLOOKUP(A171,'Leghe Fantacalcio'!A:I,1,FALSE)</f>
        <v>EllertssonGenoa</v>
      </c>
      <c r="K171" s="1" t="e">
        <f>VLOOKUP(B171,'Leghe Fantacalcio'!A:I,1,FALSE)</f>
        <v>#N/A</v>
      </c>
      <c r="L171" s="1">
        <f>IF(ISNA(VLOOKUP(A171,'Leghe Fantacalcio'!A:I,2,FALSE)),"",VLOOKUP(A171,'Leghe Fantacalcio'!A:I,2,FALSE))</f>
        <v>6020</v>
      </c>
      <c r="M171" s="1" t="str">
        <f>IF(ISNA(VLOOKUP(B171,'Leghe Fantacalcio'!A:I,2,FALSE)),"",VLOOKUP(B171,'Leghe Fantacalcio'!A:I,2,FALSE))</f>
        <v/>
      </c>
      <c r="N171" s="1">
        <f t="shared" si="10"/>
        <v>6020</v>
      </c>
      <c r="O171" s="1">
        <f>IFERROR(VLOOKUP(N171,'Leghe Fantacalcio'!B:I,8,FALSE),0)</f>
        <v>14</v>
      </c>
      <c r="P171" s="1" t="str">
        <f t="shared" si="11"/>
        <v>update giocatori set fvm = 14 where id = 1110634;</v>
      </c>
    </row>
    <row r="172" spans="1:16" x14ac:dyDescent="0.25">
      <c r="A172" s="1" t="str">
        <f t="shared" si="8"/>
        <v>FrendrupGenoa</v>
      </c>
      <c r="B172" s="1" t="str">
        <f t="shared" si="9"/>
        <v>Frendrup M.Genoa</v>
      </c>
      <c r="C172" s="1">
        <v>1110784</v>
      </c>
      <c r="D172" s="1" t="s">
        <v>366</v>
      </c>
      <c r="E172" s="1" t="s">
        <v>572</v>
      </c>
      <c r="F172" s="1" t="s">
        <v>42</v>
      </c>
      <c r="G172" s="1" t="s">
        <v>283</v>
      </c>
      <c r="H172" s="1">
        <v>6</v>
      </c>
      <c r="I172" s="1">
        <v>18</v>
      </c>
      <c r="J172" s="1" t="str">
        <f>VLOOKUP(A172,'Leghe Fantacalcio'!A:I,1,FALSE)</f>
        <v>FrendrupGenoa</v>
      </c>
      <c r="K172" s="1" t="e">
        <f>VLOOKUP(B172,'Leghe Fantacalcio'!A:I,1,FALSE)</f>
        <v>#N/A</v>
      </c>
      <c r="L172" s="1">
        <f>IF(ISNA(VLOOKUP(A172,'Leghe Fantacalcio'!A:I,2,FALSE)),"",VLOOKUP(A172,'Leghe Fantacalcio'!A:I,2,FALSE))</f>
        <v>5791</v>
      </c>
      <c r="M172" s="1" t="str">
        <f>IF(ISNA(VLOOKUP(B172,'Leghe Fantacalcio'!A:I,2,FALSE)),"",VLOOKUP(B172,'Leghe Fantacalcio'!A:I,2,FALSE))</f>
        <v/>
      </c>
      <c r="N172" s="1">
        <f t="shared" si="10"/>
        <v>5791</v>
      </c>
      <c r="O172" s="1">
        <f>IFERROR(VLOOKUP(N172,'Leghe Fantacalcio'!B:I,8,FALSE),0)</f>
        <v>19</v>
      </c>
      <c r="P172" s="1" t="str">
        <f t="shared" si="11"/>
        <v>update giocatori set fvm = 19 where id = 1110784;</v>
      </c>
    </row>
    <row r="173" spans="1:16" x14ac:dyDescent="0.25">
      <c r="A173" s="1" t="str">
        <f t="shared" si="8"/>
        <v>HavelGenoa</v>
      </c>
      <c r="B173" s="1" t="str">
        <f t="shared" si="9"/>
        <v>Havel E.Genoa</v>
      </c>
      <c r="C173" s="1">
        <v>1117971</v>
      </c>
      <c r="D173" s="1" t="s">
        <v>553</v>
      </c>
      <c r="E173" s="1" t="s">
        <v>573</v>
      </c>
      <c r="F173" s="1" t="s">
        <v>42</v>
      </c>
      <c r="G173" s="1" t="s">
        <v>478</v>
      </c>
      <c r="H173" s="1">
        <v>6</v>
      </c>
      <c r="I173" s="1">
        <v>14</v>
      </c>
      <c r="J173" s="1" t="str">
        <f>VLOOKUP(A173,'Leghe Fantacalcio'!A:I,1,FALSE)</f>
        <v>HavelGenoa</v>
      </c>
      <c r="K173" s="1" t="e">
        <f>VLOOKUP(B173,'Leghe Fantacalcio'!A:I,1,FALSE)</f>
        <v>#N/A</v>
      </c>
      <c r="L173" s="1">
        <f>IF(ISNA(VLOOKUP(A173,'Leghe Fantacalcio'!A:I,2,FALSE)),"",VLOOKUP(A173,'Leghe Fantacalcio'!A:I,2,FALSE))</f>
        <v>7453</v>
      </c>
      <c r="M173" s="1" t="str">
        <f>IF(ISNA(VLOOKUP(B173,'Leghe Fantacalcio'!A:I,2,FALSE)),"",VLOOKUP(B173,'Leghe Fantacalcio'!A:I,2,FALSE))</f>
        <v/>
      </c>
      <c r="N173" s="1">
        <f t="shared" si="10"/>
        <v>7453</v>
      </c>
      <c r="O173" s="1">
        <f>IFERROR(VLOOKUP(N173,'Leghe Fantacalcio'!B:I,8,FALSE),0)</f>
        <v>4</v>
      </c>
      <c r="P173" s="1" t="str">
        <f t="shared" si="11"/>
        <v>update giocatori set fvm = 4 where id = 1117971;</v>
      </c>
    </row>
    <row r="174" spans="1:16" ht="14.5" x14ac:dyDescent="0.35">
      <c r="A174" s="1" t="str">
        <f t="shared" si="8"/>
        <v>MessiasGenoa</v>
      </c>
      <c r="B174" s="1" t="str">
        <f t="shared" si="9"/>
        <v>Messias Genoa</v>
      </c>
      <c r="C174" s="1">
        <v>1064560</v>
      </c>
      <c r="D174" t="s">
        <v>368</v>
      </c>
      <c r="E174" s="1" t="s">
        <v>579</v>
      </c>
      <c r="F174" s="1" t="s">
        <v>42</v>
      </c>
      <c r="G174" s="1" t="s">
        <v>283</v>
      </c>
      <c r="H174" s="1">
        <v>6</v>
      </c>
      <c r="I174" s="1">
        <v>21</v>
      </c>
      <c r="J174" s="1" t="str">
        <f>VLOOKUP(A174,'Leghe Fantacalcio'!A:I,1,FALSE)</f>
        <v>MessiasGenoa</v>
      </c>
      <c r="K174" s="1" t="e">
        <f>VLOOKUP(B174,'Leghe Fantacalcio'!A:I,1,FALSE)</f>
        <v>#N/A</v>
      </c>
      <c r="L174" s="1">
        <f>IF(ISNA(VLOOKUP(A174,'Leghe Fantacalcio'!A:I,2,FALSE)),"",VLOOKUP(A174,'Leghe Fantacalcio'!A:I,2,FALSE))</f>
        <v>4970</v>
      </c>
      <c r="M174" s="1" t="str">
        <f>IF(ISNA(VLOOKUP(B174,'Leghe Fantacalcio'!A:I,2,FALSE)),"",VLOOKUP(B174,'Leghe Fantacalcio'!A:I,2,FALSE))</f>
        <v/>
      </c>
      <c r="N174" s="1">
        <f t="shared" si="10"/>
        <v>4970</v>
      </c>
      <c r="O174" s="1">
        <f>IFERROR(VLOOKUP(N174,'Leghe Fantacalcio'!B:I,8,FALSE),0)</f>
        <v>8</v>
      </c>
      <c r="P174" s="1" t="str">
        <f t="shared" si="11"/>
        <v>update giocatori set fvm = 8 where id = 1064560;</v>
      </c>
    </row>
    <row r="175" spans="1:16" x14ac:dyDescent="0.25">
      <c r="A175" s="1" t="str">
        <f t="shared" si="8"/>
        <v>MarcandalliGenoa</v>
      </c>
      <c r="B175" s="1" t="str">
        <f t="shared" si="9"/>
        <v>Marcandalli A.Genoa</v>
      </c>
      <c r="C175" s="1">
        <v>1117727</v>
      </c>
      <c r="D175" s="1" t="s">
        <v>185</v>
      </c>
      <c r="E175" s="1" t="s">
        <v>584</v>
      </c>
      <c r="F175" s="1" t="s">
        <v>42</v>
      </c>
      <c r="G175" s="1" t="s">
        <v>92</v>
      </c>
      <c r="H175" s="1">
        <v>6</v>
      </c>
      <c r="I175" s="1">
        <v>6</v>
      </c>
      <c r="J175" s="1" t="str">
        <f>VLOOKUP(A175,'Leghe Fantacalcio'!A:I,1,FALSE)</f>
        <v>MarcandalliGenoa</v>
      </c>
      <c r="K175" s="1" t="e">
        <f>VLOOKUP(B175,'Leghe Fantacalcio'!A:I,1,FALSE)</f>
        <v>#N/A</v>
      </c>
      <c r="L175" s="1">
        <f>IF(ISNA(VLOOKUP(A175,'Leghe Fantacalcio'!A:I,2,FALSE)),"",VLOOKUP(A175,'Leghe Fantacalcio'!A:I,2,FALSE))</f>
        <v>6660</v>
      </c>
      <c r="M175" s="1" t="str">
        <f>IF(ISNA(VLOOKUP(B175,'Leghe Fantacalcio'!A:I,2,FALSE)),"",VLOOKUP(B175,'Leghe Fantacalcio'!A:I,2,FALSE))</f>
        <v/>
      </c>
      <c r="N175" s="1">
        <f t="shared" si="10"/>
        <v>6660</v>
      </c>
      <c r="O175" s="1">
        <f>IFERROR(VLOOKUP(N175,'Leghe Fantacalcio'!B:I,8,FALSE),0)</f>
        <v>12</v>
      </c>
      <c r="P175" s="1" t="str">
        <f t="shared" si="11"/>
        <v>update giocatori set fvm = 12 where id = 1117727;</v>
      </c>
    </row>
    <row r="176" spans="1:16" x14ac:dyDescent="0.25">
      <c r="A176" s="1" t="str">
        <f t="shared" si="8"/>
        <v>Marcelo VazGenoa</v>
      </c>
      <c r="B176" s="1" t="str">
        <f t="shared" si="9"/>
        <v>Marcelo Vaz Genoa</v>
      </c>
      <c r="C176" s="1">
        <v>1120439</v>
      </c>
      <c r="D176" s="1" t="s">
        <v>624</v>
      </c>
      <c r="E176" s="1" t="s">
        <v>579</v>
      </c>
      <c r="F176" s="1" t="s">
        <v>42</v>
      </c>
      <c r="G176" s="1" t="s">
        <v>92</v>
      </c>
      <c r="H176" s="1">
        <v>6</v>
      </c>
      <c r="I176" s="1">
        <v>1</v>
      </c>
      <c r="J176" s="1" t="e">
        <f>VLOOKUP(A176,'Leghe Fantacalcio'!A:I,1,FALSE)</f>
        <v>#N/A</v>
      </c>
      <c r="K176" s="1" t="e">
        <f>VLOOKUP(B176,'Leghe Fantacalcio'!A:I,1,FALSE)</f>
        <v>#N/A</v>
      </c>
      <c r="L176" s="1" t="str">
        <f>IF(ISNA(VLOOKUP(A176,'Leghe Fantacalcio'!A:I,2,FALSE)),"",VLOOKUP(A176,'Leghe Fantacalcio'!A:I,2,FALSE))</f>
        <v/>
      </c>
      <c r="M176" s="1" t="str">
        <f>IF(ISNA(VLOOKUP(B176,'Leghe Fantacalcio'!A:I,2,FALSE)),"",VLOOKUP(B176,'Leghe Fantacalcio'!A:I,2,FALSE))</f>
        <v/>
      </c>
      <c r="N176" s="1" t="str">
        <f t="shared" si="10"/>
        <v/>
      </c>
      <c r="O176" s="1">
        <f>IFERROR(VLOOKUP(N176,'Leghe Fantacalcio'!B:I,8,FALSE),0)</f>
        <v>0</v>
      </c>
      <c r="P176" s="1" t="str">
        <f t="shared" si="11"/>
        <v>update giocatori set fvm = 0 where id = 1120439;</v>
      </c>
    </row>
    <row r="177" spans="1:16" x14ac:dyDescent="0.25">
      <c r="A177" s="1" t="str">
        <f t="shared" si="8"/>
        <v>MeichtryGenoa</v>
      </c>
      <c r="B177" s="1" t="str">
        <f t="shared" si="9"/>
        <v>Meichtry E.Genoa</v>
      </c>
      <c r="C177" s="1">
        <v>1120442</v>
      </c>
      <c r="D177" s="1" t="s">
        <v>416</v>
      </c>
      <c r="E177" s="1" t="s">
        <v>573</v>
      </c>
      <c r="F177" s="1" t="s">
        <v>42</v>
      </c>
      <c r="G177" s="1" t="s">
        <v>283</v>
      </c>
      <c r="H177" s="1">
        <v>6</v>
      </c>
      <c r="I177" s="1">
        <v>9</v>
      </c>
      <c r="J177" s="1" t="str">
        <f>VLOOKUP(A177,'Leghe Fantacalcio'!A:I,1,FALSE)</f>
        <v>MeichtryGenoa</v>
      </c>
      <c r="K177" s="1" t="e">
        <f>VLOOKUP(B177,'Leghe Fantacalcio'!A:I,1,FALSE)</f>
        <v>#N/A</v>
      </c>
      <c r="L177" s="1">
        <f>IF(ISNA(VLOOKUP(A177,'Leghe Fantacalcio'!A:I,2,FALSE)),"",VLOOKUP(A177,'Leghe Fantacalcio'!A:I,2,FALSE))</f>
        <v>7409</v>
      </c>
      <c r="M177" s="1" t="str">
        <f>IF(ISNA(VLOOKUP(B177,'Leghe Fantacalcio'!A:I,2,FALSE)),"",VLOOKUP(B177,'Leghe Fantacalcio'!A:I,2,FALSE))</f>
        <v/>
      </c>
      <c r="N177" s="1">
        <f t="shared" si="10"/>
        <v>7409</v>
      </c>
      <c r="O177" s="1">
        <f>IFERROR(VLOOKUP(N177,'Leghe Fantacalcio'!B:I,8,FALSE),0)</f>
        <v>9</v>
      </c>
      <c r="P177" s="1" t="str">
        <f t="shared" si="11"/>
        <v>update giocatori set fvm = 9 where id = 1120442;</v>
      </c>
    </row>
    <row r="178" spans="1:16" x14ac:dyDescent="0.25">
      <c r="A178" s="1" t="str">
        <f t="shared" si="8"/>
        <v>MitajGenoa</v>
      </c>
      <c r="B178" s="1" t="str">
        <f t="shared" si="9"/>
        <v>Mitaj M.Genoa</v>
      </c>
      <c r="C178" s="1">
        <v>1100937</v>
      </c>
      <c r="D178" s="1" t="s">
        <v>227</v>
      </c>
      <c r="E178" s="1" t="s">
        <v>572</v>
      </c>
      <c r="F178" s="1" t="s">
        <v>42</v>
      </c>
      <c r="G178" s="1" t="s">
        <v>92</v>
      </c>
      <c r="H178" s="1">
        <v>6</v>
      </c>
      <c r="I178" s="1">
        <v>1</v>
      </c>
      <c r="J178" s="1" t="str">
        <f>VLOOKUP(A178,'Leghe Fantacalcio'!A:I,1,FALSE)</f>
        <v>MitajGenoa</v>
      </c>
      <c r="K178" s="1" t="e">
        <f>VLOOKUP(B178,'Leghe Fantacalcio'!A:I,1,FALSE)</f>
        <v>#N/A</v>
      </c>
      <c r="L178" s="1">
        <f>IF(ISNA(VLOOKUP(A178,'Leghe Fantacalcio'!A:I,2,FALSE)),"",VLOOKUP(A178,'Leghe Fantacalcio'!A:I,2,FALSE))</f>
        <v>7537</v>
      </c>
      <c r="M178" s="1" t="str">
        <f>IF(ISNA(VLOOKUP(B178,'Leghe Fantacalcio'!A:I,2,FALSE)),"",VLOOKUP(B178,'Leghe Fantacalcio'!A:I,2,FALSE))</f>
        <v/>
      </c>
      <c r="N178" s="1">
        <f t="shared" si="10"/>
        <v>7537</v>
      </c>
      <c r="O178" s="1">
        <f>IFERROR(VLOOKUP(N178,'Leghe Fantacalcio'!B:I,8,FALSE),0)</f>
        <v>7</v>
      </c>
      <c r="P178" s="1" t="str">
        <f t="shared" si="11"/>
        <v>update giocatori set fvm = 7 where id = 1100937;</v>
      </c>
    </row>
    <row r="179" spans="1:16" x14ac:dyDescent="0.25">
      <c r="A179" s="1" t="str">
        <f t="shared" si="8"/>
        <v>NurediniGenoa</v>
      </c>
      <c r="B179" s="1" t="str">
        <f t="shared" si="9"/>
        <v>Nuredini J.Genoa</v>
      </c>
      <c r="C179" s="1">
        <v>1119865</v>
      </c>
      <c r="D179" s="1" t="s">
        <v>682</v>
      </c>
      <c r="E179" s="1" t="s">
        <v>571</v>
      </c>
      <c r="F179" s="1" t="s">
        <v>42</v>
      </c>
      <c r="G179" s="1" t="s">
        <v>478</v>
      </c>
      <c r="H179" s="1">
        <v>6</v>
      </c>
      <c r="I179" s="1">
        <v>1</v>
      </c>
      <c r="J179" s="1" t="e">
        <f>VLOOKUP(A179,'Leghe Fantacalcio'!A:I,1,FALSE)</f>
        <v>#N/A</v>
      </c>
      <c r="K179" s="1" t="e">
        <f>VLOOKUP(B179,'Leghe Fantacalcio'!A:I,1,FALSE)</f>
        <v>#N/A</v>
      </c>
      <c r="L179" s="1" t="str">
        <f>IF(ISNA(VLOOKUP(A179,'Leghe Fantacalcio'!A:I,2,FALSE)),"",VLOOKUP(A179,'Leghe Fantacalcio'!A:I,2,FALSE))</f>
        <v/>
      </c>
      <c r="M179" s="1" t="str">
        <f>IF(ISNA(VLOOKUP(B179,'Leghe Fantacalcio'!A:I,2,FALSE)),"",VLOOKUP(B179,'Leghe Fantacalcio'!A:I,2,FALSE))</f>
        <v/>
      </c>
      <c r="N179" s="1" t="str">
        <f t="shared" si="10"/>
        <v/>
      </c>
      <c r="O179" s="1">
        <f>IFERROR(VLOOKUP(N179,'Leghe Fantacalcio'!B:I,8,FALSE),0)</f>
        <v>0</v>
      </c>
      <c r="P179" s="1" t="str">
        <f t="shared" si="11"/>
        <v>update giocatori set fvm = 0 where id = 1119865;</v>
      </c>
    </row>
    <row r="180" spans="1:16" x14ac:dyDescent="0.25">
      <c r="A180" s="1" t="str">
        <f t="shared" si="8"/>
        <v>OsmajicGenoa</v>
      </c>
      <c r="B180" s="1" t="str">
        <f t="shared" si="9"/>
        <v>Osmajic M.Genoa</v>
      </c>
      <c r="C180" s="1">
        <v>1066238</v>
      </c>
      <c r="D180" s="1" t="s">
        <v>521</v>
      </c>
      <c r="E180" s="1" t="s">
        <v>572</v>
      </c>
      <c r="F180" s="1" t="s">
        <v>42</v>
      </c>
      <c r="G180" s="1" t="s">
        <v>478</v>
      </c>
      <c r="H180" s="1">
        <v>6</v>
      </c>
      <c r="I180" s="1">
        <v>17</v>
      </c>
      <c r="J180" s="1" t="str">
        <f>VLOOKUP(A180,'Leghe Fantacalcio'!A:I,1,FALSE)</f>
        <v>OsmajicGenoa</v>
      </c>
      <c r="K180" s="1" t="e">
        <f>VLOOKUP(B180,'Leghe Fantacalcio'!A:I,1,FALSE)</f>
        <v>#N/A</v>
      </c>
      <c r="L180" s="1">
        <f>IF(ISNA(VLOOKUP(A180,'Leghe Fantacalcio'!A:I,2,FALSE)),"",VLOOKUP(A180,'Leghe Fantacalcio'!A:I,2,FALSE))</f>
        <v>7600</v>
      </c>
      <c r="M180" s="1" t="str">
        <f>IF(ISNA(VLOOKUP(B180,'Leghe Fantacalcio'!A:I,2,FALSE)),"",VLOOKUP(B180,'Leghe Fantacalcio'!A:I,2,FALSE))</f>
        <v/>
      </c>
      <c r="N180" s="1">
        <f t="shared" si="10"/>
        <v>7600</v>
      </c>
      <c r="O180" s="1">
        <f>IFERROR(VLOOKUP(N180,'Leghe Fantacalcio'!B:I,8,FALSE),0)</f>
        <v>36</v>
      </c>
      <c r="P180" s="1" t="str">
        <f t="shared" si="11"/>
        <v>update giocatori set fvm = 36 where id = 1066238;</v>
      </c>
    </row>
    <row r="181" spans="1:16" ht="14.5" x14ac:dyDescent="0.35">
      <c r="A181" s="1" t="str">
        <f t="shared" si="8"/>
        <v>OstigardGenoa</v>
      </c>
      <c r="B181" s="1" t="str">
        <f t="shared" si="9"/>
        <v>Ostigard L.Genoa</v>
      </c>
      <c r="C181" s="1">
        <v>1109993</v>
      </c>
      <c r="D181" t="s">
        <v>114</v>
      </c>
      <c r="E181" s="1" t="s">
        <v>590</v>
      </c>
      <c r="F181" s="1" t="s">
        <v>42</v>
      </c>
      <c r="G181" s="1" t="s">
        <v>92</v>
      </c>
      <c r="H181" s="1">
        <v>6</v>
      </c>
      <c r="I181" s="1">
        <v>12</v>
      </c>
      <c r="J181" s="1" t="str">
        <f>VLOOKUP(A181,'Leghe Fantacalcio'!A:I,1,FALSE)</f>
        <v>OstigardGenoa</v>
      </c>
      <c r="K181" s="1" t="e">
        <f>VLOOKUP(B181,'Leghe Fantacalcio'!A:I,1,FALSE)</f>
        <v>#N/A</v>
      </c>
      <c r="L181" s="1">
        <f>IF(ISNA(VLOOKUP(A181,'Leghe Fantacalcio'!A:I,2,FALSE)),"",VLOOKUP(A181,'Leghe Fantacalcio'!A:I,2,FALSE))</f>
        <v>5750</v>
      </c>
      <c r="M181" s="1" t="str">
        <f>IF(ISNA(VLOOKUP(B181,'Leghe Fantacalcio'!A:I,2,FALSE)),"",VLOOKUP(B181,'Leghe Fantacalcio'!A:I,2,FALSE))</f>
        <v/>
      </c>
      <c r="N181" s="1">
        <f t="shared" si="10"/>
        <v>5750</v>
      </c>
      <c r="O181" s="1">
        <f>IFERROR(VLOOKUP(N181,'Leghe Fantacalcio'!B:I,8,FALSE),0)</f>
        <v>26</v>
      </c>
      <c r="P181" s="1" t="str">
        <f t="shared" si="11"/>
        <v>update giocatori set fvm = 26 where id = 1109993;</v>
      </c>
    </row>
    <row r="182" spans="1:16" x14ac:dyDescent="0.25">
      <c r="A182" s="1" t="str">
        <f t="shared" si="8"/>
        <v>OtoaGenoa</v>
      </c>
      <c r="B182" s="1" t="str">
        <f t="shared" si="9"/>
        <v>Otoa S.Genoa</v>
      </c>
      <c r="C182" s="1">
        <v>1119821</v>
      </c>
      <c r="D182" s="1" t="s">
        <v>243</v>
      </c>
      <c r="E182" s="1" t="s">
        <v>580</v>
      </c>
      <c r="F182" s="1" t="s">
        <v>42</v>
      </c>
      <c r="G182" s="1" t="s">
        <v>92</v>
      </c>
      <c r="H182" s="1">
        <v>6</v>
      </c>
      <c r="I182" s="1">
        <v>2</v>
      </c>
      <c r="J182" s="1" t="str">
        <f>VLOOKUP(A182,'Leghe Fantacalcio'!A:I,1,FALSE)</f>
        <v>OtoaGenoa</v>
      </c>
      <c r="K182" s="1" t="e">
        <f>VLOOKUP(B182,'Leghe Fantacalcio'!A:I,1,FALSE)</f>
        <v>#N/A</v>
      </c>
      <c r="L182" s="1">
        <f>IF(ISNA(VLOOKUP(A182,'Leghe Fantacalcio'!A:I,2,FALSE)),"",VLOOKUP(A182,'Leghe Fantacalcio'!A:I,2,FALSE))</f>
        <v>6977</v>
      </c>
      <c r="M182" s="1" t="str">
        <f>IF(ISNA(VLOOKUP(B182,'Leghe Fantacalcio'!A:I,2,FALSE)),"",VLOOKUP(B182,'Leghe Fantacalcio'!A:I,2,FALSE))</f>
        <v/>
      </c>
      <c r="N182" s="1">
        <f t="shared" si="10"/>
        <v>6977</v>
      </c>
      <c r="O182" s="1">
        <f>IFERROR(VLOOKUP(N182,'Leghe Fantacalcio'!B:I,8,FALSE),0)</f>
        <v>5</v>
      </c>
      <c r="P182" s="1" t="str">
        <f t="shared" si="11"/>
        <v>update giocatori set fvm = 5 where id = 1119821;</v>
      </c>
    </row>
    <row r="183" spans="1:16" x14ac:dyDescent="0.25">
      <c r="A183" s="1" t="str">
        <f t="shared" si="8"/>
        <v>PuczkaGenoa</v>
      </c>
      <c r="B183" s="1" t="str">
        <f t="shared" si="9"/>
        <v>Puczka D.Genoa</v>
      </c>
      <c r="C183" s="1">
        <v>1120440</v>
      </c>
      <c r="D183" s="1" t="s">
        <v>244</v>
      </c>
      <c r="E183" s="1" t="s">
        <v>593</v>
      </c>
      <c r="F183" s="1" t="s">
        <v>42</v>
      </c>
      <c r="G183" s="1" t="s">
        <v>92</v>
      </c>
      <c r="H183" s="1">
        <v>6</v>
      </c>
      <c r="I183" s="1">
        <v>3</v>
      </c>
      <c r="J183" s="1" t="str">
        <f>VLOOKUP(A183,'Leghe Fantacalcio'!A:I,1,FALSE)</f>
        <v>PuczkaGenoa</v>
      </c>
      <c r="K183" s="1" t="e">
        <f>VLOOKUP(B183,'Leghe Fantacalcio'!A:I,1,FALSE)</f>
        <v>#N/A</v>
      </c>
      <c r="L183" s="1">
        <f>IF(ISNA(VLOOKUP(A183,'Leghe Fantacalcio'!A:I,2,FALSE)),"",VLOOKUP(A183,'Leghe Fantacalcio'!A:I,2,FALSE))</f>
        <v>7413</v>
      </c>
      <c r="M183" s="1" t="str">
        <f>IF(ISNA(VLOOKUP(B183,'Leghe Fantacalcio'!A:I,2,FALSE)),"",VLOOKUP(B183,'Leghe Fantacalcio'!A:I,2,FALSE))</f>
        <v/>
      </c>
      <c r="N183" s="1">
        <f t="shared" si="10"/>
        <v>7413</v>
      </c>
      <c r="O183" s="1">
        <f>IFERROR(VLOOKUP(N183,'Leghe Fantacalcio'!B:I,8,FALSE),0)</f>
        <v>3</v>
      </c>
      <c r="P183" s="1" t="str">
        <f t="shared" si="11"/>
        <v>update giocatori set fvm = 3 where id = 1120440;</v>
      </c>
    </row>
    <row r="184" spans="1:16" x14ac:dyDescent="0.25">
      <c r="A184" s="1" t="str">
        <f t="shared" si="8"/>
        <v>Robinho JuniorGenoa</v>
      </c>
      <c r="B184" s="1" t="str">
        <f t="shared" si="9"/>
        <v>Robinho Junior Genoa</v>
      </c>
      <c r="C184" s="1">
        <v>1120642</v>
      </c>
      <c r="D184" s="1" t="s">
        <v>564</v>
      </c>
      <c r="E184" s="1" t="s">
        <v>579</v>
      </c>
      <c r="F184" s="1" t="s">
        <v>42</v>
      </c>
      <c r="G184" s="1" t="s">
        <v>478</v>
      </c>
      <c r="H184" s="1">
        <v>6</v>
      </c>
      <c r="I184" s="1">
        <v>7</v>
      </c>
      <c r="J184" s="1" t="str">
        <f>VLOOKUP(A184,'Leghe Fantacalcio'!A:I,1,FALSE)</f>
        <v>Robinho JuniorGenoa</v>
      </c>
      <c r="K184" s="1" t="e">
        <f>VLOOKUP(B184,'Leghe Fantacalcio'!A:I,1,FALSE)</f>
        <v>#N/A</v>
      </c>
      <c r="L184" s="1">
        <f>IF(ISNA(VLOOKUP(A184,'Leghe Fantacalcio'!A:I,2,FALSE)),"",VLOOKUP(A184,'Leghe Fantacalcio'!A:I,2,FALSE))</f>
        <v>7622</v>
      </c>
      <c r="M184" s="1" t="str">
        <f>IF(ISNA(VLOOKUP(B184,'Leghe Fantacalcio'!A:I,2,FALSE)),"",VLOOKUP(B184,'Leghe Fantacalcio'!A:I,2,FALSE))</f>
        <v/>
      </c>
      <c r="N184" s="1">
        <f t="shared" si="10"/>
        <v>7622</v>
      </c>
      <c r="O184" s="1">
        <f>IFERROR(VLOOKUP(N184,'Leghe Fantacalcio'!B:I,8,FALSE),0)</f>
        <v>1</v>
      </c>
      <c r="P184" s="1" t="str">
        <f t="shared" si="11"/>
        <v>update giocatori set fvm = 1 where id = 1120642;</v>
      </c>
    </row>
    <row r="185" spans="1:16" x14ac:dyDescent="0.25">
      <c r="A185" s="1" t="str">
        <f t="shared" si="8"/>
        <v>SabelliGenoa</v>
      </c>
      <c r="B185" s="1" t="str">
        <f t="shared" si="9"/>
        <v>Sabelli S.Genoa</v>
      </c>
      <c r="C185" s="1">
        <v>1035198</v>
      </c>
      <c r="D185" s="1" t="s">
        <v>245</v>
      </c>
      <c r="E185" s="1" t="s">
        <v>580</v>
      </c>
      <c r="F185" s="1" t="s">
        <v>42</v>
      </c>
      <c r="G185" s="1" t="s">
        <v>92</v>
      </c>
      <c r="H185" s="1">
        <v>6</v>
      </c>
      <c r="I185" s="1">
        <v>7</v>
      </c>
      <c r="J185" s="1" t="str">
        <f>VLOOKUP(A185,'Leghe Fantacalcio'!A:I,1,FALSE)</f>
        <v>SabelliGenoa</v>
      </c>
      <c r="K185" s="1" t="e">
        <f>VLOOKUP(B185,'Leghe Fantacalcio'!A:I,1,FALSE)</f>
        <v>#N/A</v>
      </c>
      <c r="L185" s="1">
        <f>IF(ISNA(VLOOKUP(A185,'Leghe Fantacalcio'!A:I,2,FALSE)),"",VLOOKUP(A185,'Leghe Fantacalcio'!A:I,2,FALSE))</f>
        <v>791</v>
      </c>
      <c r="M185" s="1" t="str">
        <f>IF(ISNA(VLOOKUP(B185,'Leghe Fantacalcio'!A:I,2,FALSE)),"",VLOOKUP(B185,'Leghe Fantacalcio'!A:I,2,FALSE))</f>
        <v/>
      </c>
      <c r="N185" s="1">
        <f t="shared" si="10"/>
        <v>791</v>
      </c>
      <c r="O185" s="1">
        <f>IFERROR(VLOOKUP(N185,'Leghe Fantacalcio'!B:I,8,FALSE),0)</f>
        <v>5</v>
      </c>
      <c r="P185" s="1" t="str">
        <f t="shared" si="11"/>
        <v>update giocatori set fvm = 5 where id = 1035198;</v>
      </c>
    </row>
    <row r="186" spans="1:16" x14ac:dyDescent="0.25">
      <c r="A186" s="1" t="str">
        <f t="shared" si="8"/>
        <v>SommarivaGenoa</v>
      </c>
      <c r="B186" s="1" t="str">
        <f t="shared" si="9"/>
        <v>Sommariva D.Genoa</v>
      </c>
      <c r="C186" s="1">
        <v>1100842</v>
      </c>
      <c r="D186" s="1" t="s">
        <v>62</v>
      </c>
      <c r="E186" s="1" t="s">
        <v>593</v>
      </c>
      <c r="F186" s="1" t="s">
        <v>42</v>
      </c>
      <c r="G186" s="1" t="s">
        <v>8</v>
      </c>
      <c r="H186" s="1">
        <v>6</v>
      </c>
      <c r="I186" s="1">
        <v>1</v>
      </c>
      <c r="J186" s="1" t="str">
        <f>VLOOKUP(A186,'Leghe Fantacalcio'!A:I,1,FALSE)</f>
        <v>SommarivaGenoa</v>
      </c>
      <c r="K186" s="1" t="e">
        <f>VLOOKUP(B186,'Leghe Fantacalcio'!A:I,1,FALSE)</f>
        <v>#N/A</v>
      </c>
      <c r="L186" s="1">
        <f>IF(ISNA(VLOOKUP(A186,'Leghe Fantacalcio'!A:I,2,FALSE)),"",VLOOKUP(A186,'Leghe Fantacalcio'!A:I,2,FALSE))</f>
        <v>219</v>
      </c>
      <c r="M186" s="1" t="str">
        <f>IF(ISNA(VLOOKUP(B186,'Leghe Fantacalcio'!A:I,2,FALSE)),"",VLOOKUP(B186,'Leghe Fantacalcio'!A:I,2,FALSE))</f>
        <v/>
      </c>
      <c r="N186" s="1">
        <f t="shared" si="10"/>
        <v>219</v>
      </c>
      <c r="O186" s="1">
        <f>IFERROR(VLOOKUP(N186,'Leghe Fantacalcio'!B:I,8,FALSE),0)</f>
        <v>1</v>
      </c>
      <c r="P186" s="1" t="str">
        <f t="shared" si="11"/>
        <v>update giocatori set fvm = 1 where id = 1100842;</v>
      </c>
    </row>
    <row r="187" spans="1:16" x14ac:dyDescent="0.25">
      <c r="A187" s="1" t="str">
        <f t="shared" si="8"/>
        <v>SowGenoa</v>
      </c>
      <c r="B187" s="1" t="str">
        <f t="shared" si="9"/>
        <v>Sow D.Genoa</v>
      </c>
      <c r="C187" s="1">
        <v>1054189</v>
      </c>
      <c r="D187" s="1" t="s">
        <v>372</v>
      </c>
      <c r="E187" s="1" t="s">
        <v>593</v>
      </c>
      <c r="F187" s="1" t="s">
        <v>42</v>
      </c>
      <c r="G187" s="1" t="s">
        <v>283</v>
      </c>
      <c r="H187" s="1">
        <v>6</v>
      </c>
      <c r="I187" s="1">
        <v>15</v>
      </c>
      <c r="J187" s="1" t="str">
        <f>VLOOKUP(A187,'Leghe Fantacalcio'!A:I,1,FALSE)</f>
        <v>SowGenoa</v>
      </c>
      <c r="K187" s="1" t="e">
        <f>VLOOKUP(B187,'Leghe Fantacalcio'!A:I,1,FALSE)</f>
        <v>#N/A</v>
      </c>
      <c r="L187" s="1">
        <f>IF(ISNA(VLOOKUP(A187,'Leghe Fantacalcio'!A:I,2,FALSE)),"",VLOOKUP(A187,'Leghe Fantacalcio'!A:I,2,FALSE))</f>
        <v>5946</v>
      </c>
      <c r="M187" s="1" t="str">
        <f>IF(ISNA(VLOOKUP(B187,'Leghe Fantacalcio'!A:I,2,FALSE)),"",VLOOKUP(B187,'Leghe Fantacalcio'!A:I,2,FALSE))</f>
        <v/>
      </c>
      <c r="N187" s="1">
        <f t="shared" si="10"/>
        <v>5946</v>
      </c>
      <c r="O187" s="1">
        <f>IFERROR(VLOOKUP(N187,'Leghe Fantacalcio'!B:I,8,FALSE),0)</f>
        <v>15</v>
      </c>
      <c r="P187" s="1" t="str">
        <f t="shared" si="11"/>
        <v>update giocatori set fvm = 15 where id = 1054189;</v>
      </c>
    </row>
    <row r="188" spans="1:16" x14ac:dyDescent="0.25">
      <c r="A188" s="1" t="str">
        <f t="shared" si="8"/>
        <v>StolzGenoa</v>
      </c>
      <c r="B188" s="1" t="str">
        <f t="shared" si="9"/>
        <v>Stolz F.Genoa</v>
      </c>
      <c r="C188" s="1">
        <v>1119095</v>
      </c>
      <c r="D188" s="1" t="s">
        <v>63</v>
      </c>
      <c r="E188" s="1" t="s">
        <v>589</v>
      </c>
      <c r="F188" s="1" t="s">
        <v>42</v>
      </c>
      <c r="G188" s="1" t="s">
        <v>8</v>
      </c>
      <c r="H188" s="1">
        <v>6</v>
      </c>
      <c r="I188" s="1">
        <v>1</v>
      </c>
      <c r="J188" s="1" t="str">
        <f>VLOOKUP(A188,'Leghe Fantacalcio'!A:I,1,FALSE)</f>
        <v>StolzGenoa</v>
      </c>
      <c r="K188" s="1" t="e">
        <f>VLOOKUP(B188,'Leghe Fantacalcio'!A:I,1,FALSE)</f>
        <v>#N/A</v>
      </c>
      <c r="L188" s="1">
        <f>IF(ISNA(VLOOKUP(A188,'Leghe Fantacalcio'!A:I,2,FALSE)),"",VLOOKUP(A188,'Leghe Fantacalcio'!A:I,2,FALSE))</f>
        <v>6569</v>
      </c>
      <c r="M188" s="1" t="str">
        <f>IF(ISNA(VLOOKUP(B188,'Leghe Fantacalcio'!A:I,2,FALSE)),"",VLOOKUP(B188,'Leghe Fantacalcio'!A:I,2,FALSE))</f>
        <v/>
      </c>
      <c r="N188" s="1">
        <f t="shared" si="10"/>
        <v>6569</v>
      </c>
      <c r="O188" s="1">
        <f>IFERROR(VLOOKUP(N188,'Leghe Fantacalcio'!B:I,8,FALSE),0)</f>
        <v>1</v>
      </c>
      <c r="P188" s="1" t="str">
        <f t="shared" si="11"/>
        <v>update giocatori set fvm = 1 where id = 1119095;</v>
      </c>
    </row>
    <row r="189" spans="1:16" ht="14.5" x14ac:dyDescent="0.35">
      <c r="A189" s="1" t="str">
        <f t="shared" si="8"/>
        <v>Traorè Hj.Genoa</v>
      </c>
      <c r="B189" s="1" t="str">
        <f t="shared" si="9"/>
        <v>Traorè Hj. H.Genoa</v>
      </c>
      <c r="C189" s="1">
        <v>1064555</v>
      </c>
      <c r="D189" t="s">
        <v>417</v>
      </c>
      <c r="E189" s="1" t="s">
        <v>620</v>
      </c>
      <c r="F189" s="1" t="s">
        <v>42</v>
      </c>
      <c r="G189" s="1" t="s">
        <v>283</v>
      </c>
      <c r="H189" s="1">
        <v>6</v>
      </c>
      <c r="I189" s="1">
        <v>11</v>
      </c>
      <c r="J189" s="1" t="str">
        <f>VLOOKUP(A189,'Leghe Fantacalcio'!A:I,1,FALSE)</f>
        <v>Traorè Hj.Genoa</v>
      </c>
      <c r="K189" s="1" t="e">
        <f>VLOOKUP(B189,'Leghe Fantacalcio'!A:I,1,FALSE)</f>
        <v>#N/A</v>
      </c>
      <c r="L189" s="1">
        <f>IF(ISNA(VLOOKUP(A189,'Leghe Fantacalcio'!A:I,2,FALSE)),"",VLOOKUP(A189,'Leghe Fantacalcio'!A:I,2,FALSE))</f>
        <v>2857</v>
      </c>
      <c r="M189" s="1" t="str">
        <f>IF(ISNA(VLOOKUP(B189,'Leghe Fantacalcio'!A:I,2,FALSE)),"",VLOOKUP(B189,'Leghe Fantacalcio'!A:I,2,FALSE))</f>
        <v/>
      </c>
      <c r="N189" s="1">
        <f t="shared" si="10"/>
        <v>2857</v>
      </c>
      <c r="O189" s="1">
        <f>IFERROR(VLOOKUP(N189,'Leghe Fantacalcio'!B:I,8,FALSE),0)</f>
        <v>9</v>
      </c>
      <c r="P189" s="1" t="str">
        <f t="shared" si="11"/>
        <v>update giocatori set fvm = 9 where id = 1064555;</v>
      </c>
    </row>
    <row r="190" spans="1:16" x14ac:dyDescent="0.25">
      <c r="A190" s="1" t="str">
        <f t="shared" si="8"/>
        <v>VasquezGenoa</v>
      </c>
      <c r="B190" s="1" t="str">
        <f t="shared" si="9"/>
        <v>Vasquez J.Genoa</v>
      </c>
      <c r="C190" s="1">
        <v>1110692</v>
      </c>
      <c r="D190" s="1" t="s">
        <v>123</v>
      </c>
      <c r="E190" s="1" t="s">
        <v>571</v>
      </c>
      <c r="F190" s="1" t="s">
        <v>42</v>
      </c>
      <c r="G190" s="1" t="s">
        <v>92</v>
      </c>
      <c r="H190" s="1">
        <v>6</v>
      </c>
      <c r="I190" s="1">
        <v>11</v>
      </c>
      <c r="J190" s="1" t="str">
        <f>VLOOKUP(A190,'Leghe Fantacalcio'!A:I,1,FALSE)</f>
        <v>VasquezGenoa</v>
      </c>
      <c r="K190" s="1" t="e">
        <f>VLOOKUP(B190,'Leghe Fantacalcio'!A:I,1,FALSE)</f>
        <v>#N/A</v>
      </c>
      <c r="L190" s="1">
        <f>IF(ISNA(VLOOKUP(A190,'Leghe Fantacalcio'!A:I,2,FALSE)),"",VLOOKUP(A190,'Leghe Fantacalcio'!A:I,2,FALSE))</f>
        <v>5514</v>
      </c>
      <c r="M190" s="1" t="str">
        <f>IF(ISNA(VLOOKUP(B190,'Leghe Fantacalcio'!A:I,2,FALSE)),"",VLOOKUP(B190,'Leghe Fantacalcio'!A:I,2,FALSE))</f>
        <v/>
      </c>
      <c r="N190" s="1">
        <f t="shared" si="10"/>
        <v>5514</v>
      </c>
      <c r="O190" s="1">
        <f>IFERROR(VLOOKUP(N190,'Leghe Fantacalcio'!B:I,8,FALSE),0)</f>
        <v>28</v>
      </c>
      <c r="P190" s="1" t="str">
        <f t="shared" si="11"/>
        <v>update giocatori set fvm = 28 where id = 1110692;</v>
      </c>
    </row>
    <row r="191" spans="1:16" x14ac:dyDescent="0.25">
      <c r="A191" s="1" t="str">
        <f t="shared" si="8"/>
        <v>VenturinoGenoa</v>
      </c>
      <c r="B191" s="1" t="str">
        <f t="shared" si="9"/>
        <v>Venturino L.Genoa</v>
      </c>
      <c r="C191" s="1">
        <v>1119822</v>
      </c>
      <c r="D191" s="1" t="s">
        <v>463</v>
      </c>
      <c r="E191" s="1" t="s">
        <v>590</v>
      </c>
      <c r="F191" s="1" t="s">
        <v>42</v>
      </c>
      <c r="G191" s="1" t="s">
        <v>283</v>
      </c>
      <c r="H191" s="1">
        <v>6</v>
      </c>
      <c r="I191" s="1">
        <v>11</v>
      </c>
      <c r="J191" s="1" t="str">
        <f>VLOOKUP(A191,'Leghe Fantacalcio'!A:I,1,FALSE)</f>
        <v>VenturinoGenoa</v>
      </c>
      <c r="K191" s="1" t="e">
        <f>VLOOKUP(B191,'Leghe Fantacalcio'!A:I,1,FALSE)</f>
        <v>#N/A</v>
      </c>
      <c r="L191" s="1">
        <f>IF(ISNA(VLOOKUP(A191,'Leghe Fantacalcio'!A:I,2,FALSE)),"",VLOOKUP(A191,'Leghe Fantacalcio'!A:I,2,FALSE))</f>
        <v>6980</v>
      </c>
      <c r="M191" s="1" t="str">
        <f>IF(ISNA(VLOOKUP(B191,'Leghe Fantacalcio'!A:I,2,FALSE)),"",VLOOKUP(B191,'Leghe Fantacalcio'!A:I,2,FALSE))</f>
        <v/>
      </c>
      <c r="N191" s="1">
        <f t="shared" si="10"/>
        <v>6980</v>
      </c>
      <c r="O191" s="1">
        <f>IFERROR(VLOOKUP(N191,'Leghe Fantacalcio'!B:I,8,FALSE),0)</f>
        <v>4</v>
      </c>
      <c r="P191" s="1" t="str">
        <f t="shared" si="11"/>
        <v>update giocatori set fvm = 4 where id = 1119822;</v>
      </c>
    </row>
    <row r="192" spans="1:16" ht="14.5" x14ac:dyDescent="0.35">
      <c r="A192" s="1" t="str">
        <f t="shared" si="8"/>
        <v>Vitinha O.Genoa</v>
      </c>
      <c r="B192" s="1" t="str">
        <f t="shared" si="9"/>
        <v>Vitinha O. Genoa</v>
      </c>
      <c r="C192" s="1">
        <v>1103168</v>
      </c>
      <c r="D192" t="s">
        <v>529</v>
      </c>
      <c r="E192" s="1" t="s">
        <v>579</v>
      </c>
      <c r="F192" s="1" t="s">
        <v>42</v>
      </c>
      <c r="G192" s="1" t="s">
        <v>478</v>
      </c>
      <c r="H192" s="1">
        <v>6</v>
      </c>
      <c r="I192" s="1">
        <v>27</v>
      </c>
      <c r="J192" s="1" t="str">
        <f>VLOOKUP(A192,'Leghe Fantacalcio'!A:I,1,FALSE)</f>
        <v>Vitinha O.Genoa</v>
      </c>
      <c r="K192" s="1" t="e">
        <f>VLOOKUP(B192,'Leghe Fantacalcio'!A:I,1,FALSE)</f>
        <v>#N/A</v>
      </c>
      <c r="L192" s="1">
        <f>IF(ISNA(VLOOKUP(A192,'Leghe Fantacalcio'!A:I,2,FALSE)),"",VLOOKUP(A192,'Leghe Fantacalcio'!A:I,2,FALSE))</f>
        <v>6164</v>
      </c>
      <c r="M192" s="1" t="str">
        <f>IF(ISNA(VLOOKUP(B192,'Leghe Fantacalcio'!A:I,2,FALSE)),"",VLOOKUP(B192,'Leghe Fantacalcio'!A:I,2,FALSE))</f>
        <v/>
      </c>
      <c r="N192" s="1">
        <f t="shared" si="10"/>
        <v>6164</v>
      </c>
      <c r="O192" s="1">
        <f>IFERROR(VLOOKUP(N192,'Leghe Fantacalcio'!B:I,8,FALSE),0)</f>
        <v>11</v>
      </c>
      <c r="P192" s="1" t="str">
        <f t="shared" si="11"/>
        <v>update giocatori set fvm = 11 where id = 1103168;</v>
      </c>
    </row>
    <row r="193" spans="1:16" x14ac:dyDescent="0.25">
      <c r="A193" s="1" t="str">
        <f t="shared" si="8"/>
        <v>WiafeGenoa</v>
      </c>
      <c r="B193" s="1" t="str">
        <f t="shared" si="9"/>
        <v>Wiafe S.Genoa</v>
      </c>
      <c r="C193" s="1">
        <v>1120443</v>
      </c>
      <c r="D193" s="1" t="s">
        <v>666</v>
      </c>
      <c r="E193" s="1" t="s">
        <v>580</v>
      </c>
      <c r="F193" s="1" t="s">
        <v>42</v>
      </c>
      <c r="G193" s="1" t="s">
        <v>283</v>
      </c>
      <c r="H193" s="1">
        <v>6</v>
      </c>
      <c r="I193" s="1">
        <v>1</v>
      </c>
      <c r="J193" s="1" t="e">
        <f>VLOOKUP(A193,'Leghe Fantacalcio'!A:I,1,FALSE)</f>
        <v>#N/A</v>
      </c>
      <c r="K193" s="1" t="e">
        <f>VLOOKUP(B193,'Leghe Fantacalcio'!A:I,1,FALSE)</f>
        <v>#N/A</v>
      </c>
      <c r="L193" s="1" t="str">
        <f>IF(ISNA(VLOOKUP(A193,'Leghe Fantacalcio'!A:I,2,FALSE)),"",VLOOKUP(A193,'Leghe Fantacalcio'!A:I,2,FALSE))</f>
        <v/>
      </c>
      <c r="M193" s="1" t="str">
        <f>IF(ISNA(VLOOKUP(B193,'Leghe Fantacalcio'!A:I,2,FALSE)),"",VLOOKUP(B193,'Leghe Fantacalcio'!A:I,2,FALSE))</f>
        <v/>
      </c>
      <c r="N193" s="1" t="str">
        <f t="shared" si="10"/>
        <v/>
      </c>
      <c r="O193" s="1">
        <f>IFERROR(VLOOKUP(N193,'Leghe Fantacalcio'!B:I,8,FALSE),0)</f>
        <v>0</v>
      </c>
      <c r="P193" s="1" t="str">
        <f t="shared" si="11"/>
        <v>update giocatori set fvm = 0 where id = 1120443;</v>
      </c>
    </row>
    <row r="194" spans="1:16" x14ac:dyDescent="0.25">
      <c r="A194" s="1" t="str">
        <f t="shared" ref="A194:A257" si="12">CONCATENATE(D194,F194)</f>
        <v>ŽulevicGenoa</v>
      </c>
      <c r="B194" s="1" t="str">
        <f t="shared" si="9"/>
        <v>Žulevic A.Genoa</v>
      </c>
      <c r="C194" s="1">
        <v>1120549</v>
      </c>
      <c r="D194" s="1" t="s">
        <v>693</v>
      </c>
      <c r="E194" s="1" t="s">
        <v>584</v>
      </c>
      <c r="F194" s="1" t="s">
        <v>42</v>
      </c>
      <c r="G194" s="1" t="s">
        <v>478</v>
      </c>
      <c r="H194" s="1">
        <v>6</v>
      </c>
      <c r="I194" s="1">
        <v>1</v>
      </c>
      <c r="J194" s="1" t="e">
        <f>VLOOKUP(A194,'Leghe Fantacalcio'!A:I,1,FALSE)</f>
        <v>#N/A</v>
      </c>
      <c r="K194" s="1" t="e">
        <f>VLOOKUP(B194,'Leghe Fantacalcio'!A:I,1,FALSE)</f>
        <v>#N/A</v>
      </c>
      <c r="L194" s="1" t="str">
        <f>IF(ISNA(VLOOKUP(A194,'Leghe Fantacalcio'!A:I,2,FALSE)),"",VLOOKUP(A194,'Leghe Fantacalcio'!A:I,2,FALSE))</f>
        <v/>
      </c>
      <c r="M194" s="1" t="str">
        <f>IF(ISNA(VLOOKUP(B194,'Leghe Fantacalcio'!A:I,2,FALSE)),"",VLOOKUP(B194,'Leghe Fantacalcio'!A:I,2,FALSE))</f>
        <v/>
      </c>
      <c r="N194" s="1" t="str">
        <f t="shared" si="10"/>
        <v/>
      </c>
      <c r="O194" s="1">
        <f>IFERROR(VLOOKUP(N194,'Leghe Fantacalcio'!B:I,8,FALSE),0)</f>
        <v>0</v>
      </c>
      <c r="P194" s="1" t="str">
        <f t="shared" si="11"/>
        <v>update giocatori set fvm = 0 where id = 1120549;</v>
      </c>
    </row>
    <row r="195" spans="1:16" x14ac:dyDescent="0.25">
      <c r="A195" s="1" t="str">
        <f t="shared" si="12"/>
        <v>AkanjiInter</v>
      </c>
      <c r="B195" s="1" t="str">
        <f t="shared" ref="B195:B258" si="13">CONCATENATE(D195," ",E195,F195)</f>
        <v>Akanji M.Inter</v>
      </c>
      <c r="C195" s="1">
        <v>1051611</v>
      </c>
      <c r="D195" s="1" t="s">
        <v>99</v>
      </c>
      <c r="E195" s="1" t="s">
        <v>572</v>
      </c>
      <c r="F195" s="1" t="s">
        <v>18</v>
      </c>
      <c r="G195" s="1" t="s">
        <v>92</v>
      </c>
      <c r="H195" s="1">
        <v>6</v>
      </c>
      <c r="I195" s="1">
        <v>15</v>
      </c>
      <c r="J195" s="1" t="str">
        <f>VLOOKUP(A195,'Leghe Fantacalcio'!A:I,1,FALSE)</f>
        <v>AkanjiInter</v>
      </c>
      <c r="K195" s="1" t="e">
        <f>VLOOKUP(B195,'Leghe Fantacalcio'!A:I,1,FALSE)</f>
        <v>#N/A</v>
      </c>
      <c r="L195" s="1">
        <f>IF(ISNA(VLOOKUP(A195,'Leghe Fantacalcio'!A:I,2,FALSE)),"",VLOOKUP(A195,'Leghe Fantacalcio'!A:I,2,FALSE))</f>
        <v>4159</v>
      </c>
      <c r="M195" s="1" t="str">
        <f>IF(ISNA(VLOOKUP(B195,'Leghe Fantacalcio'!A:I,2,FALSE)),"",VLOOKUP(B195,'Leghe Fantacalcio'!A:I,2,FALSE))</f>
        <v/>
      </c>
      <c r="N195" s="1">
        <f t="shared" ref="N195:N258" si="14">IFERROR(VALUE(CONCATENATE(L195,M195)),"")</f>
        <v>4159</v>
      </c>
      <c r="O195" s="1">
        <f>IFERROR(VLOOKUP(N195,'Leghe Fantacalcio'!B:I,8,FALSE),0)</f>
        <v>41</v>
      </c>
      <c r="P195" s="1" t="str">
        <f t="shared" ref="P195:P258" si="15">CONCATENATE("update giocatori set fvm = ",O195," where id = ",C195,";")</f>
        <v>update giocatori set fvm = 41 where id = 1051611;</v>
      </c>
    </row>
    <row r="196" spans="1:16" x14ac:dyDescent="0.25">
      <c r="A196" s="1" t="str">
        <f t="shared" si="12"/>
        <v>BarellaInter</v>
      </c>
      <c r="B196" s="1" t="str">
        <f t="shared" si="13"/>
        <v>Barella N.Inter</v>
      </c>
      <c r="C196" s="1">
        <v>1045456</v>
      </c>
      <c r="D196" s="1" t="s">
        <v>292</v>
      </c>
      <c r="E196" s="1" t="s">
        <v>578</v>
      </c>
      <c r="F196" s="1" t="s">
        <v>18</v>
      </c>
      <c r="G196" s="1" t="s">
        <v>283</v>
      </c>
      <c r="H196" s="1">
        <v>6</v>
      </c>
      <c r="I196" s="1">
        <v>33</v>
      </c>
      <c r="J196" s="1" t="str">
        <f>VLOOKUP(A196,'Leghe Fantacalcio'!A:I,1,FALSE)</f>
        <v>BarellaInter</v>
      </c>
      <c r="K196" s="1" t="e">
        <f>VLOOKUP(B196,'Leghe Fantacalcio'!A:I,1,FALSE)</f>
        <v>#N/A</v>
      </c>
      <c r="L196" s="1">
        <f>IF(ISNA(VLOOKUP(A196,'Leghe Fantacalcio'!A:I,2,FALSE)),"",VLOOKUP(A196,'Leghe Fantacalcio'!A:I,2,FALSE))</f>
        <v>1870</v>
      </c>
      <c r="M196" s="1" t="str">
        <f>IF(ISNA(VLOOKUP(B196,'Leghe Fantacalcio'!A:I,2,FALSE)),"",VLOOKUP(B196,'Leghe Fantacalcio'!A:I,2,FALSE))</f>
        <v/>
      </c>
      <c r="N196" s="1">
        <f t="shared" si="14"/>
        <v>1870</v>
      </c>
      <c r="O196" s="1">
        <f>IFERROR(VLOOKUP(N196,'Leghe Fantacalcio'!B:I,8,FALSE),0)</f>
        <v>84</v>
      </c>
      <c r="P196" s="1" t="str">
        <f t="shared" si="15"/>
        <v>update giocatori set fvm = 84 where id = 1045456;</v>
      </c>
    </row>
    <row r="197" spans="1:16" x14ac:dyDescent="0.25">
      <c r="A197" s="1" t="str">
        <f t="shared" si="12"/>
        <v>BastoniInter</v>
      </c>
      <c r="B197" s="1" t="str">
        <f t="shared" si="13"/>
        <v>Bastoni A.Inter</v>
      </c>
      <c r="C197" s="1">
        <v>1061306</v>
      </c>
      <c r="D197" s="1" t="s">
        <v>100</v>
      </c>
      <c r="E197" s="1" t="s">
        <v>584</v>
      </c>
      <c r="F197" s="1" t="s">
        <v>18</v>
      </c>
      <c r="G197" s="1" t="s">
        <v>92</v>
      </c>
      <c r="H197" s="1">
        <v>6</v>
      </c>
      <c r="I197" s="1">
        <v>18</v>
      </c>
      <c r="J197" s="1" t="str">
        <f>VLOOKUP(A197,'Leghe Fantacalcio'!A:I,1,FALSE)</f>
        <v>BastoniInter</v>
      </c>
      <c r="K197" s="1" t="e">
        <f>VLOOKUP(B197,'Leghe Fantacalcio'!A:I,1,FALSE)</f>
        <v>#N/A</v>
      </c>
      <c r="L197" s="1">
        <f>IF(ISNA(VLOOKUP(A197,'Leghe Fantacalcio'!A:I,2,FALSE)),"",VLOOKUP(A197,'Leghe Fantacalcio'!A:I,2,FALSE))</f>
        <v>2120</v>
      </c>
      <c r="M197" s="1" t="str">
        <f>IF(ISNA(VLOOKUP(B197,'Leghe Fantacalcio'!A:I,2,FALSE)),"",VLOOKUP(B197,'Leghe Fantacalcio'!A:I,2,FALSE))</f>
        <v/>
      </c>
      <c r="N197" s="1">
        <f t="shared" si="14"/>
        <v>2120</v>
      </c>
      <c r="O197" s="1">
        <f>IFERROR(VLOOKUP(N197,'Leghe Fantacalcio'!B:I,8,FALSE),0)</f>
        <v>40</v>
      </c>
      <c r="P197" s="1" t="str">
        <f t="shared" si="15"/>
        <v>update giocatori set fvm = 40 where id = 1061306;</v>
      </c>
    </row>
    <row r="198" spans="1:16" x14ac:dyDescent="0.25">
      <c r="A198" s="1" t="str">
        <f t="shared" si="12"/>
        <v>BisseckInter</v>
      </c>
      <c r="B198" s="1" t="str">
        <f t="shared" si="13"/>
        <v>Bisseck Y.Inter</v>
      </c>
      <c r="C198" s="1">
        <v>1117151</v>
      </c>
      <c r="D198" s="1" t="s">
        <v>101</v>
      </c>
      <c r="E198" s="1" t="s">
        <v>606</v>
      </c>
      <c r="F198" s="1" t="s">
        <v>18</v>
      </c>
      <c r="G198" s="1" t="s">
        <v>92</v>
      </c>
      <c r="H198" s="1">
        <v>6</v>
      </c>
      <c r="I198" s="1">
        <v>17</v>
      </c>
      <c r="J198" s="1" t="str">
        <f>VLOOKUP(A198,'Leghe Fantacalcio'!A:I,1,FALSE)</f>
        <v>BisseckInter</v>
      </c>
      <c r="K198" s="1" t="e">
        <f>VLOOKUP(B198,'Leghe Fantacalcio'!A:I,1,FALSE)</f>
        <v>#N/A</v>
      </c>
      <c r="L198" s="1">
        <f>IF(ISNA(VLOOKUP(A198,'Leghe Fantacalcio'!A:I,2,FALSE)),"",VLOOKUP(A198,'Leghe Fantacalcio'!A:I,2,FALSE))</f>
        <v>6217</v>
      </c>
      <c r="M198" s="1" t="str">
        <f>IF(ISNA(VLOOKUP(B198,'Leghe Fantacalcio'!A:I,2,FALSE)),"",VLOOKUP(B198,'Leghe Fantacalcio'!A:I,2,FALSE))</f>
        <v/>
      </c>
      <c r="N198" s="1">
        <f t="shared" si="14"/>
        <v>6217</v>
      </c>
      <c r="O198" s="1">
        <f>IFERROR(VLOOKUP(N198,'Leghe Fantacalcio'!B:I,8,FALSE),0)</f>
        <v>34</v>
      </c>
      <c r="P198" s="1" t="str">
        <f t="shared" si="15"/>
        <v>update giocatori set fvm = 34 where id = 1117151;</v>
      </c>
    </row>
    <row r="199" spans="1:16" x14ac:dyDescent="0.25">
      <c r="A199" s="1" t="str">
        <f t="shared" si="12"/>
        <v>BonnyInter</v>
      </c>
      <c r="B199" s="1" t="str">
        <f t="shared" si="13"/>
        <v>Bonny A.Inter</v>
      </c>
      <c r="C199" s="1">
        <v>1111489</v>
      </c>
      <c r="D199" s="1" t="s">
        <v>524</v>
      </c>
      <c r="E199" s="1" t="s">
        <v>584</v>
      </c>
      <c r="F199" s="1" t="s">
        <v>18</v>
      </c>
      <c r="G199" s="1" t="s">
        <v>478</v>
      </c>
      <c r="H199" s="1">
        <v>6</v>
      </c>
      <c r="I199" s="1">
        <v>29</v>
      </c>
      <c r="J199" s="1" t="str">
        <f>VLOOKUP(A199,'Leghe Fantacalcio'!A:I,1,FALSE)</f>
        <v>BonnyInter</v>
      </c>
      <c r="K199" s="1" t="e">
        <f>VLOOKUP(B199,'Leghe Fantacalcio'!A:I,1,FALSE)</f>
        <v>#N/A</v>
      </c>
      <c r="L199" s="1">
        <f>IF(ISNA(VLOOKUP(A199,'Leghe Fantacalcio'!A:I,2,FALSE)),"",VLOOKUP(A199,'Leghe Fantacalcio'!A:I,2,FALSE))</f>
        <v>6669</v>
      </c>
      <c r="M199" s="1" t="str">
        <f>IF(ISNA(VLOOKUP(B199,'Leghe Fantacalcio'!A:I,2,FALSE)),"",VLOOKUP(B199,'Leghe Fantacalcio'!A:I,2,FALSE))</f>
        <v/>
      </c>
      <c r="N199" s="1">
        <f t="shared" si="14"/>
        <v>6669</v>
      </c>
      <c r="O199" s="1">
        <f>IFERROR(VLOOKUP(N199,'Leghe Fantacalcio'!B:I,8,FALSE),0)</f>
        <v>16</v>
      </c>
      <c r="P199" s="1" t="str">
        <f t="shared" si="15"/>
        <v>update giocatori set fvm = 16 where id = 1111489;</v>
      </c>
    </row>
    <row r="200" spans="1:16" x14ac:dyDescent="0.25">
      <c r="A200" s="1" t="str">
        <f t="shared" si="12"/>
        <v>BovioInter</v>
      </c>
      <c r="B200" s="1" t="str">
        <f t="shared" si="13"/>
        <v>Bovio L.Inter</v>
      </c>
      <c r="C200" s="1">
        <v>1120563</v>
      </c>
      <c r="D200" s="1" t="s">
        <v>607</v>
      </c>
      <c r="E200" s="1" t="s">
        <v>590</v>
      </c>
      <c r="F200" s="1" t="s">
        <v>18</v>
      </c>
      <c r="G200" s="1" t="s">
        <v>92</v>
      </c>
      <c r="H200" s="1">
        <v>6</v>
      </c>
      <c r="I200" s="1">
        <v>1</v>
      </c>
      <c r="J200" s="1" t="e">
        <f>VLOOKUP(A200,'Leghe Fantacalcio'!A:I,1,FALSE)</f>
        <v>#N/A</v>
      </c>
      <c r="K200" s="1" t="e">
        <f>VLOOKUP(B200,'Leghe Fantacalcio'!A:I,1,FALSE)</f>
        <v>#N/A</v>
      </c>
      <c r="L200" s="1" t="str">
        <f>IF(ISNA(VLOOKUP(A200,'Leghe Fantacalcio'!A:I,2,FALSE)),"",VLOOKUP(A200,'Leghe Fantacalcio'!A:I,2,FALSE))</f>
        <v/>
      </c>
      <c r="M200" s="1" t="str">
        <f>IF(ISNA(VLOOKUP(B200,'Leghe Fantacalcio'!A:I,2,FALSE)),"",VLOOKUP(B200,'Leghe Fantacalcio'!A:I,2,FALSE))</f>
        <v/>
      </c>
      <c r="N200" s="1" t="str">
        <f t="shared" si="14"/>
        <v/>
      </c>
      <c r="O200" s="1">
        <f>IFERROR(VLOOKUP(N200,'Leghe Fantacalcio'!B:I,8,FALSE),0)</f>
        <v>0</v>
      </c>
      <c r="P200" s="1" t="str">
        <f t="shared" si="15"/>
        <v>update giocatori set fvm = 0 where id = 1120563;</v>
      </c>
    </row>
    <row r="201" spans="1:16" x14ac:dyDescent="0.25">
      <c r="A201" s="1" t="str">
        <f t="shared" si="12"/>
        <v>CalhanogluInter</v>
      </c>
      <c r="B201" s="1" t="str">
        <f t="shared" si="13"/>
        <v>Calhanoglu H.Inter</v>
      </c>
      <c r="C201" s="1">
        <v>1042724</v>
      </c>
      <c r="D201" s="1" t="s">
        <v>285</v>
      </c>
      <c r="E201" s="1" t="s">
        <v>620</v>
      </c>
      <c r="F201" s="1" t="s">
        <v>18</v>
      </c>
      <c r="G201" s="1" t="s">
        <v>283</v>
      </c>
      <c r="H201" s="1">
        <v>6</v>
      </c>
      <c r="I201" s="1">
        <v>43</v>
      </c>
      <c r="J201" s="1" t="str">
        <f>VLOOKUP(A201,'Leghe Fantacalcio'!A:I,1,FALSE)</f>
        <v>CalhanogluInter</v>
      </c>
      <c r="K201" s="1" t="e">
        <f>VLOOKUP(B201,'Leghe Fantacalcio'!A:I,1,FALSE)</f>
        <v>#N/A</v>
      </c>
      <c r="L201" s="1">
        <f>IF(ISNA(VLOOKUP(A201,'Leghe Fantacalcio'!A:I,2,FALSE)),"",VLOOKUP(A201,'Leghe Fantacalcio'!A:I,2,FALSE))</f>
        <v>2194</v>
      </c>
      <c r="M201" s="1" t="str">
        <f>IF(ISNA(VLOOKUP(B201,'Leghe Fantacalcio'!A:I,2,FALSE)),"",VLOOKUP(B201,'Leghe Fantacalcio'!A:I,2,FALSE))</f>
        <v/>
      </c>
      <c r="N201" s="1">
        <f t="shared" si="14"/>
        <v>2194</v>
      </c>
      <c r="O201" s="1">
        <f>IFERROR(VLOOKUP(N201,'Leghe Fantacalcio'!B:I,8,FALSE),0)</f>
        <v>220</v>
      </c>
      <c r="P201" s="1" t="str">
        <f t="shared" si="15"/>
        <v>update giocatori set fvm = 220 where id = 1042724;</v>
      </c>
    </row>
    <row r="202" spans="1:16" x14ac:dyDescent="0.25">
      <c r="A202" s="1" t="str">
        <f t="shared" si="12"/>
        <v>Carlos AugustoInter</v>
      </c>
      <c r="B202" s="1" t="str">
        <f t="shared" si="13"/>
        <v>Carlos Augusto Inter</v>
      </c>
      <c r="C202" s="1">
        <v>1102058</v>
      </c>
      <c r="D202" s="1" t="s">
        <v>115</v>
      </c>
      <c r="E202" s="1" t="s">
        <v>579</v>
      </c>
      <c r="F202" s="1" t="s">
        <v>18</v>
      </c>
      <c r="G202" s="1" t="s">
        <v>92</v>
      </c>
      <c r="H202" s="1">
        <v>6</v>
      </c>
      <c r="I202" s="1">
        <v>17</v>
      </c>
      <c r="J202" s="1" t="str">
        <f>VLOOKUP(A202,'Leghe Fantacalcio'!A:I,1,FALSE)</f>
        <v>Carlos AugustoInter</v>
      </c>
      <c r="K202" s="1" t="e">
        <f>VLOOKUP(B202,'Leghe Fantacalcio'!A:I,1,FALSE)</f>
        <v>#N/A</v>
      </c>
      <c r="L202" s="1">
        <f>IF(ISNA(VLOOKUP(A202,'Leghe Fantacalcio'!A:I,2,FALSE)),"",VLOOKUP(A202,'Leghe Fantacalcio'!A:I,2,FALSE))</f>
        <v>5877</v>
      </c>
      <c r="M202" s="1" t="str">
        <f>IF(ISNA(VLOOKUP(B202,'Leghe Fantacalcio'!A:I,2,FALSE)),"",VLOOKUP(B202,'Leghe Fantacalcio'!A:I,2,FALSE))</f>
        <v/>
      </c>
      <c r="N202" s="1">
        <f t="shared" si="14"/>
        <v>5877</v>
      </c>
      <c r="O202" s="1">
        <f>IFERROR(VLOOKUP(N202,'Leghe Fantacalcio'!B:I,8,FALSE),0)</f>
        <v>27</v>
      </c>
      <c r="P202" s="1" t="str">
        <f t="shared" si="15"/>
        <v>update giocatori set fvm = 27 where id = 1102058;</v>
      </c>
    </row>
    <row r="203" spans="1:16" x14ac:dyDescent="0.25">
      <c r="A203" s="1" t="str">
        <f t="shared" si="12"/>
        <v>Di GennaroInter</v>
      </c>
      <c r="B203" s="1" t="str">
        <f t="shared" si="13"/>
        <v>Di Gennaro R.Inter</v>
      </c>
      <c r="C203" s="1">
        <v>1117150</v>
      </c>
      <c r="D203" s="1" t="s">
        <v>64</v>
      </c>
      <c r="E203" s="1" t="s">
        <v>581</v>
      </c>
      <c r="F203" s="1" t="s">
        <v>18</v>
      </c>
      <c r="G203" s="1" t="s">
        <v>8</v>
      </c>
      <c r="H203" s="1">
        <v>6</v>
      </c>
      <c r="I203" s="1">
        <v>1</v>
      </c>
      <c r="J203" s="1" t="str">
        <f>VLOOKUP(A203,'Leghe Fantacalcio'!A:I,1,FALSE)</f>
        <v>Di GennaroInter</v>
      </c>
      <c r="K203" s="1" t="e">
        <f>VLOOKUP(B203,'Leghe Fantacalcio'!A:I,1,FALSE)</f>
        <v>#N/A</v>
      </c>
      <c r="L203" s="1">
        <f>IF(ISNA(VLOOKUP(A203,'Leghe Fantacalcio'!A:I,2,FALSE)),"",VLOOKUP(A203,'Leghe Fantacalcio'!A:I,2,FALSE))</f>
        <v>1926</v>
      </c>
      <c r="M203" s="1" t="str">
        <f>IF(ISNA(VLOOKUP(B203,'Leghe Fantacalcio'!A:I,2,FALSE)),"",VLOOKUP(B203,'Leghe Fantacalcio'!A:I,2,FALSE))</f>
        <v/>
      </c>
      <c r="N203" s="1">
        <f t="shared" si="14"/>
        <v>1926</v>
      </c>
      <c r="O203" s="1">
        <f>IFERROR(VLOOKUP(N203,'Leghe Fantacalcio'!B:I,8,FALSE),0)</f>
        <v>1</v>
      </c>
      <c r="P203" s="1" t="str">
        <f t="shared" si="15"/>
        <v>update giocatori set fvm = 1 where id = 1117150;</v>
      </c>
    </row>
    <row r="204" spans="1:16" x14ac:dyDescent="0.25">
      <c r="A204" s="1" t="str">
        <f t="shared" si="12"/>
        <v>DimarcoInter</v>
      </c>
      <c r="B204" s="1" t="str">
        <f t="shared" si="13"/>
        <v>Dimarco F.Inter</v>
      </c>
      <c r="C204" s="1">
        <v>1049778</v>
      </c>
      <c r="D204" s="1" t="s">
        <v>93</v>
      </c>
      <c r="E204" s="1" t="s">
        <v>589</v>
      </c>
      <c r="F204" s="1" t="s">
        <v>18</v>
      </c>
      <c r="G204" s="1" t="s">
        <v>92</v>
      </c>
      <c r="H204" s="1">
        <v>6</v>
      </c>
      <c r="I204" s="1">
        <v>21</v>
      </c>
      <c r="J204" s="1" t="str">
        <f>VLOOKUP(A204,'Leghe Fantacalcio'!A:I,1,FALSE)</f>
        <v>DimarcoInter</v>
      </c>
      <c r="K204" s="1" t="e">
        <f>VLOOKUP(B204,'Leghe Fantacalcio'!A:I,1,FALSE)</f>
        <v>#N/A</v>
      </c>
      <c r="L204" s="1">
        <f>IF(ISNA(VLOOKUP(A204,'Leghe Fantacalcio'!A:I,2,FALSE)),"",VLOOKUP(A204,'Leghe Fantacalcio'!A:I,2,FALSE))</f>
        <v>254</v>
      </c>
      <c r="M204" s="1" t="str">
        <f>IF(ISNA(VLOOKUP(B204,'Leghe Fantacalcio'!A:I,2,FALSE)),"",VLOOKUP(B204,'Leghe Fantacalcio'!A:I,2,FALSE))</f>
        <v/>
      </c>
      <c r="N204" s="1">
        <f t="shared" si="14"/>
        <v>254</v>
      </c>
      <c r="O204" s="1">
        <f>IFERROR(VLOOKUP(N204,'Leghe Fantacalcio'!B:I,8,FALSE),0)</f>
        <v>210</v>
      </c>
      <c r="P204" s="1" t="str">
        <f t="shared" si="15"/>
        <v>update giocatori set fvm = 210 where id = 1049778;</v>
      </c>
    </row>
    <row r="205" spans="1:16" x14ac:dyDescent="0.25">
      <c r="A205" s="1" t="str">
        <f t="shared" si="12"/>
        <v>DioufInter</v>
      </c>
      <c r="B205" s="1" t="str">
        <f t="shared" si="13"/>
        <v>Diouf A.Inter</v>
      </c>
      <c r="C205" s="1">
        <v>1109651</v>
      </c>
      <c r="D205" s="1" t="s">
        <v>318</v>
      </c>
      <c r="E205" s="1" t="s">
        <v>584</v>
      </c>
      <c r="F205" s="1" t="s">
        <v>18</v>
      </c>
      <c r="G205" s="1" t="s">
        <v>283</v>
      </c>
      <c r="H205" s="1">
        <v>6</v>
      </c>
      <c r="I205" s="1">
        <v>19</v>
      </c>
      <c r="J205" s="1" t="str">
        <f>VLOOKUP(A205,'Leghe Fantacalcio'!A:I,1,FALSE)</f>
        <v>DioufInter</v>
      </c>
      <c r="K205" s="1" t="e">
        <f>VLOOKUP(B205,'Leghe Fantacalcio'!A:I,1,FALSE)</f>
        <v>#N/A</v>
      </c>
      <c r="L205" s="1">
        <f>IF(ISNA(VLOOKUP(A205,'Leghe Fantacalcio'!A:I,2,FALSE)),"",VLOOKUP(A205,'Leghe Fantacalcio'!A:I,2,FALSE))</f>
        <v>6274</v>
      </c>
      <c r="M205" s="1" t="str">
        <f>IF(ISNA(VLOOKUP(B205,'Leghe Fantacalcio'!A:I,2,FALSE)),"",VLOOKUP(B205,'Leghe Fantacalcio'!A:I,2,FALSE))</f>
        <v/>
      </c>
      <c r="N205" s="1">
        <f t="shared" si="14"/>
        <v>6274</v>
      </c>
      <c r="O205" s="1">
        <f>IFERROR(VLOOKUP(N205,'Leghe Fantacalcio'!B:I,8,FALSE),0)</f>
        <v>56</v>
      </c>
      <c r="P205" s="1" t="str">
        <f t="shared" si="15"/>
        <v>update giocatori set fvm = 56 where id = 1109651;</v>
      </c>
    </row>
    <row r="206" spans="1:16" ht="14.5" x14ac:dyDescent="0.35">
      <c r="A206" s="1" t="str">
        <f t="shared" si="12"/>
        <v>Esposito F.P.Inter</v>
      </c>
      <c r="B206" s="1" t="str">
        <f t="shared" si="13"/>
        <v>Esposito F.P. F.Inter</v>
      </c>
      <c r="C206" s="1">
        <v>1118085</v>
      </c>
      <c r="D206" t="s">
        <v>491</v>
      </c>
      <c r="E206" s="1" t="s">
        <v>589</v>
      </c>
      <c r="F206" s="1" t="s">
        <v>18</v>
      </c>
      <c r="G206" s="1" t="s">
        <v>478</v>
      </c>
      <c r="H206" s="1">
        <v>6</v>
      </c>
      <c r="I206" s="1">
        <v>37</v>
      </c>
      <c r="J206" s="1" t="str">
        <f>VLOOKUP(A206,'Leghe Fantacalcio'!A:I,1,FALSE)</f>
        <v>Esposito F.P.Inter</v>
      </c>
      <c r="K206" s="1" t="e">
        <f>VLOOKUP(B206,'Leghe Fantacalcio'!A:I,1,FALSE)</f>
        <v>#N/A</v>
      </c>
      <c r="L206" s="1">
        <f>IF(ISNA(VLOOKUP(A206,'Leghe Fantacalcio'!A:I,2,FALSE)),"",VLOOKUP(A206,'Leghe Fantacalcio'!A:I,2,FALSE))</f>
        <v>7071</v>
      </c>
      <c r="M206" s="1" t="str">
        <f>IF(ISNA(VLOOKUP(B206,'Leghe Fantacalcio'!A:I,2,FALSE)),"",VLOOKUP(B206,'Leghe Fantacalcio'!A:I,2,FALSE))</f>
        <v/>
      </c>
      <c r="N206" s="1">
        <f t="shared" si="14"/>
        <v>7071</v>
      </c>
      <c r="O206" s="1">
        <f>IFERROR(VLOOKUP(N206,'Leghe Fantacalcio'!B:I,8,FALSE),0)</f>
        <v>107</v>
      </c>
      <c r="P206" s="1" t="str">
        <f t="shared" si="15"/>
        <v>update giocatori set fvm = 107 where id = 1118085;</v>
      </c>
    </row>
    <row r="207" spans="1:16" x14ac:dyDescent="0.25">
      <c r="A207" s="1" t="str">
        <f t="shared" si="12"/>
        <v>JonesInter</v>
      </c>
      <c r="B207" s="1" t="str">
        <f t="shared" si="13"/>
        <v>Jones C.Inter</v>
      </c>
      <c r="C207" s="1">
        <v>1066359</v>
      </c>
      <c r="D207" s="1" t="s">
        <v>648</v>
      </c>
      <c r="E207" s="1" t="s">
        <v>592</v>
      </c>
      <c r="F207" s="1" t="s">
        <v>18</v>
      </c>
      <c r="G207" s="1" t="s">
        <v>283</v>
      </c>
      <c r="H207" s="1">
        <v>6</v>
      </c>
      <c r="I207" s="1">
        <v>40</v>
      </c>
      <c r="J207" s="1" t="e">
        <f>VLOOKUP(A207,'Leghe Fantacalcio'!A:I,1,FALSE)</f>
        <v>#N/A</v>
      </c>
      <c r="K207" s="1" t="str">
        <f>VLOOKUP(B207,'Leghe Fantacalcio'!A:I,1,FALSE)</f>
        <v>Jones C.Inter</v>
      </c>
      <c r="L207" s="1" t="str">
        <f>IF(ISNA(VLOOKUP(A207,'Leghe Fantacalcio'!A:I,2,FALSE)),"",VLOOKUP(A207,'Leghe Fantacalcio'!A:I,2,FALSE))</f>
        <v/>
      </c>
      <c r="M207" s="1">
        <f>IF(ISNA(VLOOKUP(B207,'Leghe Fantacalcio'!A:I,2,FALSE)),"",VLOOKUP(B207,'Leghe Fantacalcio'!A:I,2,FALSE))</f>
        <v>5172</v>
      </c>
      <c r="N207" s="1">
        <f t="shared" si="14"/>
        <v>5172</v>
      </c>
      <c r="O207" s="1">
        <f>IFERROR(VLOOKUP(N207,'Leghe Fantacalcio'!B:I,8,FALSE),0)</f>
        <v>33</v>
      </c>
      <c r="P207" s="1" t="str">
        <f t="shared" si="15"/>
        <v>update giocatori set fvm = 33 where id = 1066359;</v>
      </c>
    </row>
    <row r="208" spans="1:16" ht="14.5" x14ac:dyDescent="0.35">
      <c r="A208" s="1" t="str">
        <f t="shared" si="12"/>
        <v>Martinez Jo.Inter</v>
      </c>
      <c r="B208" s="1" t="str">
        <f t="shared" si="13"/>
        <v>Martinez Jo. Inter</v>
      </c>
      <c r="C208" s="1">
        <v>1095090</v>
      </c>
      <c r="D208" t="s">
        <v>17</v>
      </c>
      <c r="E208" s="1" t="s">
        <v>579</v>
      </c>
      <c r="F208" s="1" t="s">
        <v>18</v>
      </c>
      <c r="G208" s="1" t="s">
        <v>8</v>
      </c>
      <c r="H208" s="1">
        <v>6</v>
      </c>
      <c r="I208" s="1">
        <v>14</v>
      </c>
      <c r="J208" s="1" t="str">
        <f>VLOOKUP(A208,'Leghe Fantacalcio'!A:I,1,FALSE)</f>
        <v>Martinez Jo.Inter</v>
      </c>
      <c r="K208" s="1" t="e">
        <f>VLOOKUP(B208,'Leghe Fantacalcio'!A:I,1,FALSE)</f>
        <v>#N/A</v>
      </c>
      <c r="L208" s="1">
        <f>IF(ISNA(VLOOKUP(A208,'Leghe Fantacalcio'!A:I,2,FALSE)),"",VLOOKUP(A208,'Leghe Fantacalcio'!A:I,2,FALSE))</f>
        <v>5116</v>
      </c>
      <c r="M208" s="1" t="str">
        <f>IF(ISNA(VLOOKUP(B208,'Leghe Fantacalcio'!A:I,2,FALSE)),"",VLOOKUP(B208,'Leghe Fantacalcio'!A:I,2,FALSE))</f>
        <v/>
      </c>
      <c r="N208" s="1">
        <f t="shared" si="14"/>
        <v>5116</v>
      </c>
      <c r="O208" s="1">
        <f>IFERROR(VLOOKUP(N208,'Leghe Fantacalcio'!B:I,8,FALSE),0)</f>
        <v>63</v>
      </c>
      <c r="P208" s="1" t="str">
        <f t="shared" si="15"/>
        <v>update giocatori set fvm = 63 where id = 1095090;</v>
      </c>
    </row>
    <row r="209" spans="1:16" ht="14.5" x14ac:dyDescent="0.35">
      <c r="A209" s="1" t="str">
        <f t="shared" si="12"/>
        <v>Martinez L.Inter</v>
      </c>
      <c r="B209" s="1" t="str">
        <f t="shared" si="13"/>
        <v>Martinez L. Inter</v>
      </c>
      <c r="C209" s="1">
        <v>1067777</v>
      </c>
      <c r="D209" t="s">
        <v>480</v>
      </c>
      <c r="E209" s="1" t="s">
        <v>579</v>
      </c>
      <c r="F209" s="1" t="s">
        <v>18</v>
      </c>
      <c r="G209" s="1" t="s">
        <v>478</v>
      </c>
      <c r="H209" s="1">
        <v>6</v>
      </c>
      <c r="I209" s="1">
        <v>56</v>
      </c>
      <c r="J209" s="1" t="str">
        <f>VLOOKUP(A209,'Leghe Fantacalcio'!A:I,1,FALSE)</f>
        <v>Martinez L.Inter</v>
      </c>
      <c r="K209" s="1" t="e">
        <f>VLOOKUP(B209,'Leghe Fantacalcio'!A:I,1,FALSE)</f>
        <v>#N/A</v>
      </c>
      <c r="L209" s="1">
        <f>IF(ISNA(VLOOKUP(A209,'Leghe Fantacalcio'!A:I,2,FALSE)),"",VLOOKUP(A209,'Leghe Fantacalcio'!A:I,2,FALSE))</f>
        <v>2764</v>
      </c>
      <c r="M209" s="1" t="str">
        <f>IF(ISNA(VLOOKUP(B209,'Leghe Fantacalcio'!A:I,2,FALSE)),"",VLOOKUP(B209,'Leghe Fantacalcio'!A:I,2,FALSE))</f>
        <v/>
      </c>
      <c r="N209" s="1">
        <f t="shared" si="14"/>
        <v>2764</v>
      </c>
      <c r="O209" s="1">
        <f>IFERROR(VLOOKUP(N209,'Leghe Fantacalcio'!B:I,8,FALSE),0)</f>
        <v>418</v>
      </c>
      <c r="P209" s="1" t="str">
        <f t="shared" si="15"/>
        <v>update giocatori set fvm = 418 where id = 1067777;</v>
      </c>
    </row>
    <row r="210" spans="1:16" x14ac:dyDescent="0.25">
      <c r="A210" s="1" t="str">
        <f t="shared" si="12"/>
        <v>Luis HenriqueInter</v>
      </c>
      <c r="B210" s="1" t="str">
        <f t="shared" si="13"/>
        <v>Luis Henrique Inter</v>
      </c>
      <c r="C210" s="1">
        <v>1102394</v>
      </c>
      <c r="D210" s="1" t="s">
        <v>401</v>
      </c>
      <c r="E210" s="1" t="s">
        <v>579</v>
      </c>
      <c r="F210" s="1" t="s">
        <v>18</v>
      </c>
      <c r="G210" s="1" t="s">
        <v>283</v>
      </c>
      <c r="H210" s="1">
        <v>6</v>
      </c>
      <c r="I210" s="1">
        <v>18</v>
      </c>
      <c r="J210" s="1" t="str">
        <f>VLOOKUP(A210,'Leghe Fantacalcio'!A:I,1,FALSE)</f>
        <v>Luis HenriqueInter</v>
      </c>
      <c r="K210" s="1" t="e">
        <f>VLOOKUP(B210,'Leghe Fantacalcio'!A:I,1,FALSE)</f>
        <v>#N/A</v>
      </c>
      <c r="L210" s="1">
        <f>IF(ISNA(VLOOKUP(A210,'Leghe Fantacalcio'!A:I,2,FALSE)),"",VLOOKUP(A210,'Leghe Fantacalcio'!A:I,2,FALSE))</f>
        <v>5301</v>
      </c>
      <c r="M210" s="1" t="str">
        <f>IF(ISNA(VLOOKUP(B210,'Leghe Fantacalcio'!A:I,2,FALSE)),"",VLOOKUP(B210,'Leghe Fantacalcio'!A:I,2,FALSE))</f>
        <v/>
      </c>
      <c r="N210" s="1">
        <f t="shared" si="14"/>
        <v>5301</v>
      </c>
      <c r="O210" s="1">
        <f>IFERROR(VLOOKUP(N210,'Leghe Fantacalcio'!B:I,8,FALSE),0)</f>
        <v>12</v>
      </c>
      <c r="P210" s="1" t="str">
        <f t="shared" si="15"/>
        <v>update giocatori set fvm = 12 where id = 1102394;</v>
      </c>
    </row>
    <row r="211" spans="1:16" x14ac:dyDescent="0.25">
      <c r="A211" s="1" t="str">
        <f t="shared" si="12"/>
        <v>MarelloInter</v>
      </c>
      <c r="B211" s="1" t="str">
        <f t="shared" si="13"/>
        <v>Marello M.Inter</v>
      </c>
      <c r="C211" s="1">
        <v>1120644</v>
      </c>
      <c r="D211" s="1" t="s">
        <v>625</v>
      </c>
      <c r="E211" s="1" t="s">
        <v>572</v>
      </c>
      <c r="F211" s="1" t="s">
        <v>18</v>
      </c>
      <c r="G211" s="1" t="s">
        <v>92</v>
      </c>
      <c r="H211" s="1">
        <v>6</v>
      </c>
      <c r="I211" s="1">
        <v>1</v>
      </c>
      <c r="J211" s="1" t="e">
        <f>VLOOKUP(A211,'Leghe Fantacalcio'!A:I,1,FALSE)</f>
        <v>#N/A</v>
      </c>
      <c r="K211" s="1" t="e">
        <f>VLOOKUP(B211,'Leghe Fantacalcio'!A:I,1,FALSE)</f>
        <v>#N/A</v>
      </c>
      <c r="L211" s="1" t="str">
        <f>IF(ISNA(VLOOKUP(A211,'Leghe Fantacalcio'!A:I,2,FALSE)),"",VLOOKUP(A211,'Leghe Fantacalcio'!A:I,2,FALSE))</f>
        <v/>
      </c>
      <c r="M211" s="1" t="str">
        <f>IF(ISNA(VLOOKUP(B211,'Leghe Fantacalcio'!A:I,2,FALSE)),"",VLOOKUP(B211,'Leghe Fantacalcio'!A:I,2,FALSE))</f>
        <v/>
      </c>
      <c r="N211" s="1" t="str">
        <f t="shared" si="14"/>
        <v/>
      </c>
      <c r="O211" s="1">
        <f>IFERROR(VLOOKUP(N211,'Leghe Fantacalcio'!B:I,8,FALSE),0)</f>
        <v>0</v>
      </c>
      <c r="P211" s="1" t="str">
        <f t="shared" si="15"/>
        <v>update giocatori set fvm = 0 where id = 1120644;</v>
      </c>
    </row>
    <row r="212" spans="1:16" x14ac:dyDescent="0.25">
      <c r="A212" s="1" t="str">
        <f t="shared" si="12"/>
        <v>MkhitaryanInter</v>
      </c>
      <c r="B212" s="1" t="str">
        <f t="shared" si="13"/>
        <v>Mkhitaryan H.Inter</v>
      </c>
      <c r="C212" s="1">
        <v>1020517</v>
      </c>
      <c r="D212" s="1" t="s">
        <v>418</v>
      </c>
      <c r="E212" s="1" t="s">
        <v>620</v>
      </c>
      <c r="F212" s="1" t="s">
        <v>18</v>
      </c>
      <c r="G212" s="1" t="s">
        <v>283</v>
      </c>
      <c r="H212" s="1">
        <v>6</v>
      </c>
      <c r="I212" s="1">
        <v>22</v>
      </c>
      <c r="J212" s="1" t="str">
        <f>VLOOKUP(A212,'Leghe Fantacalcio'!A:I,1,FALSE)</f>
        <v>MkhitaryanInter</v>
      </c>
      <c r="K212" s="1" t="e">
        <f>VLOOKUP(B212,'Leghe Fantacalcio'!A:I,1,FALSE)</f>
        <v>#N/A</v>
      </c>
      <c r="L212" s="1">
        <f>IF(ISNA(VLOOKUP(A212,'Leghe Fantacalcio'!A:I,2,FALSE)),"",VLOOKUP(A212,'Leghe Fantacalcio'!A:I,2,FALSE))</f>
        <v>2529</v>
      </c>
      <c r="M212" s="1" t="str">
        <f>IF(ISNA(VLOOKUP(B212,'Leghe Fantacalcio'!A:I,2,FALSE)),"",VLOOKUP(B212,'Leghe Fantacalcio'!A:I,2,FALSE))</f>
        <v/>
      </c>
      <c r="N212" s="1">
        <f t="shared" si="14"/>
        <v>2529</v>
      </c>
      <c r="O212" s="1">
        <f>IFERROR(VLOOKUP(N212,'Leghe Fantacalcio'!B:I,8,FALSE),0)</f>
        <v>10</v>
      </c>
      <c r="P212" s="1" t="str">
        <f t="shared" si="15"/>
        <v>update giocatori set fvm = 10 where id = 1020517;</v>
      </c>
    </row>
    <row r="213" spans="1:16" x14ac:dyDescent="0.25">
      <c r="A213" s="1" t="str">
        <f t="shared" si="12"/>
        <v>MosconiInter</v>
      </c>
      <c r="B213" s="1" t="str">
        <f t="shared" si="13"/>
        <v>Mosconi M.Inter</v>
      </c>
      <c r="C213" s="1">
        <v>1120118</v>
      </c>
      <c r="D213" s="1" t="s">
        <v>681</v>
      </c>
      <c r="E213" s="1" t="s">
        <v>572</v>
      </c>
      <c r="F213" s="1" t="s">
        <v>18</v>
      </c>
      <c r="G213" s="1" t="s">
        <v>478</v>
      </c>
      <c r="H213" s="1">
        <v>6</v>
      </c>
      <c r="I213" s="1">
        <v>1</v>
      </c>
      <c r="J213" s="1" t="e">
        <f>VLOOKUP(A213,'Leghe Fantacalcio'!A:I,1,FALSE)</f>
        <v>#N/A</v>
      </c>
      <c r="K213" s="1" t="e">
        <f>VLOOKUP(B213,'Leghe Fantacalcio'!A:I,1,FALSE)</f>
        <v>#N/A</v>
      </c>
      <c r="L213" s="1" t="str">
        <f>IF(ISNA(VLOOKUP(A213,'Leghe Fantacalcio'!A:I,2,FALSE)),"",VLOOKUP(A213,'Leghe Fantacalcio'!A:I,2,FALSE))</f>
        <v/>
      </c>
      <c r="M213" s="1" t="str">
        <f>IF(ISNA(VLOOKUP(B213,'Leghe Fantacalcio'!A:I,2,FALSE)),"",VLOOKUP(B213,'Leghe Fantacalcio'!A:I,2,FALSE))</f>
        <v/>
      </c>
      <c r="N213" s="1" t="str">
        <f t="shared" si="14"/>
        <v/>
      </c>
      <c r="O213" s="1">
        <f>IFERROR(VLOOKUP(N213,'Leghe Fantacalcio'!B:I,8,FALSE),0)</f>
        <v>0</v>
      </c>
      <c r="P213" s="1" t="str">
        <f t="shared" si="15"/>
        <v>update giocatori set fvm = 0 where id = 1120118;</v>
      </c>
    </row>
    <row r="214" spans="1:16" x14ac:dyDescent="0.25">
      <c r="A214" s="1" t="str">
        <f t="shared" si="12"/>
        <v>PavardInter</v>
      </c>
      <c r="B214" s="1" t="str">
        <f t="shared" si="13"/>
        <v>Pavard B.Inter</v>
      </c>
      <c r="C214" s="1">
        <v>1049976</v>
      </c>
      <c r="D214" s="1" t="s">
        <v>186</v>
      </c>
      <c r="E214" s="1" t="s">
        <v>597</v>
      </c>
      <c r="F214" s="1" t="s">
        <v>18</v>
      </c>
      <c r="G214" s="1" t="s">
        <v>92</v>
      </c>
      <c r="H214" s="1">
        <v>6</v>
      </c>
      <c r="I214" s="1">
        <v>12</v>
      </c>
      <c r="J214" s="1" t="str">
        <f>VLOOKUP(A214,'Leghe Fantacalcio'!A:I,1,FALSE)</f>
        <v>PavardInter</v>
      </c>
      <c r="K214" s="1" t="e">
        <f>VLOOKUP(B214,'Leghe Fantacalcio'!A:I,1,FALSE)</f>
        <v>#N/A</v>
      </c>
      <c r="L214" s="1">
        <f>IF(ISNA(VLOOKUP(A214,'Leghe Fantacalcio'!A:I,2,FALSE)),"",VLOOKUP(A214,'Leghe Fantacalcio'!A:I,2,FALSE))</f>
        <v>4177</v>
      </c>
      <c r="M214" s="1" t="str">
        <f>IF(ISNA(VLOOKUP(B214,'Leghe Fantacalcio'!A:I,2,FALSE)),"",VLOOKUP(B214,'Leghe Fantacalcio'!A:I,2,FALSE))</f>
        <v/>
      </c>
      <c r="N214" s="1">
        <f t="shared" si="14"/>
        <v>4177</v>
      </c>
      <c r="O214" s="1">
        <f>IFERROR(VLOOKUP(N214,'Leghe Fantacalcio'!B:I,8,FALSE),0)</f>
        <v>12</v>
      </c>
      <c r="P214" s="1" t="str">
        <f t="shared" si="15"/>
        <v>update giocatori set fvm = 12 where id = 1049976;</v>
      </c>
    </row>
    <row r="215" spans="1:16" x14ac:dyDescent="0.25">
      <c r="A215" s="1" t="str">
        <f t="shared" si="12"/>
        <v>ProvedelInter</v>
      </c>
      <c r="B215" s="1" t="str">
        <f t="shared" si="13"/>
        <v>Provedel I.Inter</v>
      </c>
      <c r="C215" s="1">
        <v>1039507</v>
      </c>
      <c r="D215" s="1" t="s">
        <v>65</v>
      </c>
      <c r="E215" s="1" t="s">
        <v>600</v>
      </c>
      <c r="F215" s="1" t="s">
        <v>18</v>
      </c>
      <c r="G215" s="1" t="s">
        <v>8</v>
      </c>
      <c r="H215" s="1">
        <v>6</v>
      </c>
      <c r="I215" s="1">
        <v>1</v>
      </c>
      <c r="J215" s="1" t="str">
        <f>VLOOKUP(A215,'Leghe Fantacalcio'!A:I,1,FALSE)</f>
        <v>ProvedelInter</v>
      </c>
      <c r="K215" s="1" t="e">
        <f>VLOOKUP(B215,'Leghe Fantacalcio'!A:I,1,FALSE)</f>
        <v>#N/A</v>
      </c>
      <c r="L215" s="1">
        <f>IF(ISNA(VLOOKUP(A215,'Leghe Fantacalcio'!A:I,2,FALSE)),"",VLOOKUP(A215,'Leghe Fantacalcio'!A:I,2,FALSE))</f>
        <v>2814</v>
      </c>
      <c r="M215" s="1" t="str">
        <f>IF(ISNA(VLOOKUP(B215,'Leghe Fantacalcio'!A:I,2,FALSE)),"",VLOOKUP(B215,'Leghe Fantacalcio'!A:I,2,FALSE))</f>
        <v/>
      </c>
      <c r="N215" s="1">
        <f t="shared" si="14"/>
        <v>2814</v>
      </c>
      <c r="O215" s="1">
        <f>IFERROR(VLOOKUP(N215,'Leghe Fantacalcio'!B:I,8,FALSE),0)</f>
        <v>5</v>
      </c>
      <c r="P215" s="1" t="str">
        <f t="shared" si="15"/>
        <v>update giocatori set fvm = 5 where id = 1039507;</v>
      </c>
    </row>
    <row r="216" spans="1:16" x14ac:dyDescent="0.25">
      <c r="A216" s="1" t="str">
        <f t="shared" si="12"/>
        <v>SpenceInter</v>
      </c>
      <c r="B216" s="1" t="str">
        <f t="shared" si="13"/>
        <v>Spence D.Inter</v>
      </c>
      <c r="C216" s="1">
        <v>1113658</v>
      </c>
      <c r="D216" s="1" t="s">
        <v>118</v>
      </c>
      <c r="E216" s="1" t="s">
        <v>593</v>
      </c>
      <c r="F216" s="1" t="s">
        <v>18</v>
      </c>
      <c r="G216" s="1" t="s">
        <v>92</v>
      </c>
      <c r="H216" s="1">
        <v>6</v>
      </c>
      <c r="I216" s="1">
        <v>9</v>
      </c>
      <c r="J216" s="1" t="str">
        <f>VLOOKUP(A216,'Leghe Fantacalcio'!A:I,1,FALSE)</f>
        <v>SpenceInter</v>
      </c>
      <c r="K216" s="1" t="e">
        <f>VLOOKUP(B216,'Leghe Fantacalcio'!A:I,1,FALSE)</f>
        <v>#N/A</v>
      </c>
      <c r="L216" s="1">
        <f>IF(ISNA(VLOOKUP(A216,'Leghe Fantacalcio'!A:I,2,FALSE)),"",VLOOKUP(A216,'Leghe Fantacalcio'!A:I,2,FALSE))</f>
        <v>5982</v>
      </c>
      <c r="M216" s="1" t="str">
        <f>IF(ISNA(VLOOKUP(B216,'Leghe Fantacalcio'!A:I,2,FALSE)),"",VLOOKUP(B216,'Leghe Fantacalcio'!A:I,2,FALSE))</f>
        <v/>
      </c>
      <c r="N216" s="1">
        <f t="shared" si="14"/>
        <v>5982</v>
      </c>
      <c r="O216" s="1">
        <f>IFERROR(VLOOKUP(N216,'Leghe Fantacalcio'!B:I,8,FALSE),0)</f>
        <v>17</v>
      </c>
      <c r="P216" s="1" t="str">
        <f t="shared" si="15"/>
        <v>update giocatori set fvm = 17 where id = 1113658;</v>
      </c>
    </row>
    <row r="217" spans="1:16" x14ac:dyDescent="0.25">
      <c r="A217" s="1" t="str">
        <f t="shared" si="12"/>
        <v>StankovicInter</v>
      </c>
      <c r="B217" s="1" t="str">
        <f t="shared" si="13"/>
        <v>Stankovic A.Inter</v>
      </c>
      <c r="C217" s="1">
        <v>1115525</v>
      </c>
      <c r="D217" s="1" t="s">
        <v>604</v>
      </c>
      <c r="E217" s="1" t="s">
        <v>584</v>
      </c>
      <c r="F217" s="1" t="s">
        <v>18</v>
      </c>
      <c r="G217" s="1" t="s">
        <v>283</v>
      </c>
      <c r="H217" s="1">
        <v>6</v>
      </c>
      <c r="I217" s="1">
        <v>13</v>
      </c>
      <c r="J217" s="1" t="e">
        <f>VLOOKUP(A217,'Leghe Fantacalcio'!A:I,1,FALSE)</f>
        <v>#N/A</v>
      </c>
      <c r="K217" s="1" t="str">
        <f>VLOOKUP(B217,'Leghe Fantacalcio'!A:I,1,FALSE)</f>
        <v>Stankovic A.Inter</v>
      </c>
      <c r="L217" s="1" t="str">
        <f>IF(ISNA(VLOOKUP(A217,'Leghe Fantacalcio'!A:I,2,FALSE)),"",VLOOKUP(A217,'Leghe Fantacalcio'!A:I,2,FALSE))</f>
        <v/>
      </c>
      <c r="M217" s="1">
        <f>IF(ISNA(VLOOKUP(B217,'Leghe Fantacalcio'!A:I,2,FALSE)),"",VLOOKUP(B217,'Leghe Fantacalcio'!A:I,2,FALSE))</f>
        <v>6503</v>
      </c>
      <c r="N217" s="1">
        <f t="shared" si="14"/>
        <v>6503</v>
      </c>
      <c r="O217" s="1">
        <f>IFERROR(VLOOKUP(N217,'Leghe Fantacalcio'!B:I,8,FALSE),0)</f>
        <v>7</v>
      </c>
      <c r="P217" s="1" t="str">
        <f t="shared" si="15"/>
        <v>update giocatori set fvm = 7 where id = 1115525;</v>
      </c>
    </row>
    <row r="218" spans="1:16" x14ac:dyDescent="0.25">
      <c r="A218" s="1" t="str">
        <f t="shared" si="12"/>
        <v>StonesInter</v>
      </c>
      <c r="B218" s="1" t="str">
        <f t="shared" si="13"/>
        <v>Stones J.Inter</v>
      </c>
      <c r="C218" s="1">
        <v>1039584</v>
      </c>
      <c r="D218" s="1" t="s">
        <v>109</v>
      </c>
      <c r="E218" s="1" t="s">
        <v>571</v>
      </c>
      <c r="F218" s="1" t="s">
        <v>18</v>
      </c>
      <c r="G218" s="1" t="s">
        <v>92</v>
      </c>
      <c r="H218" s="1">
        <v>6</v>
      </c>
      <c r="I218" s="1">
        <v>14</v>
      </c>
      <c r="J218" s="1" t="str">
        <f>VLOOKUP(A218,'Leghe Fantacalcio'!A:I,1,FALSE)</f>
        <v>StonesInter</v>
      </c>
      <c r="K218" s="1" t="e">
        <f>VLOOKUP(B218,'Leghe Fantacalcio'!A:I,1,FALSE)</f>
        <v>#N/A</v>
      </c>
      <c r="L218" s="1">
        <f>IF(ISNA(VLOOKUP(A218,'Leghe Fantacalcio'!A:I,2,FALSE)),"",VLOOKUP(A218,'Leghe Fantacalcio'!A:I,2,FALSE))</f>
        <v>2514</v>
      </c>
      <c r="M218" s="1" t="str">
        <f>IF(ISNA(VLOOKUP(B218,'Leghe Fantacalcio'!A:I,2,FALSE)),"",VLOOKUP(B218,'Leghe Fantacalcio'!A:I,2,FALSE))</f>
        <v/>
      </c>
      <c r="N218" s="1">
        <f t="shared" si="14"/>
        <v>2514</v>
      </c>
      <c r="O218" s="1">
        <f>IFERROR(VLOOKUP(N218,'Leghe Fantacalcio'!B:I,8,FALSE),0)</f>
        <v>14</v>
      </c>
      <c r="P218" s="1" t="str">
        <f t="shared" si="15"/>
        <v>update giocatori set fvm = 14 where id = 1039584;</v>
      </c>
    </row>
    <row r="219" spans="1:16" x14ac:dyDescent="0.25">
      <c r="A219" s="1" t="str">
        <f t="shared" si="12"/>
        <v>SucicInter</v>
      </c>
      <c r="B219" s="1" t="str">
        <f t="shared" si="13"/>
        <v>Sucic P.Inter</v>
      </c>
      <c r="C219" s="1">
        <v>1102896</v>
      </c>
      <c r="D219" s="1" t="s">
        <v>662</v>
      </c>
      <c r="E219" s="1" t="s">
        <v>585</v>
      </c>
      <c r="F219" s="1" t="s">
        <v>18</v>
      </c>
      <c r="G219" s="1" t="s">
        <v>283</v>
      </c>
      <c r="H219" s="1">
        <v>6</v>
      </c>
      <c r="I219" s="1">
        <v>23</v>
      </c>
      <c r="J219" s="1" t="e">
        <f>VLOOKUP(A219,'Leghe Fantacalcio'!A:I,1,FALSE)</f>
        <v>#N/A</v>
      </c>
      <c r="K219" s="1" t="str">
        <f>VLOOKUP(B219,'Leghe Fantacalcio'!A:I,1,FALSE)</f>
        <v>Sucic P.Inter</v>
      </c>
      <c r="L219" s="1" t="str">
        <f>IF(ISNA(VLOOKUP(A219,'Leghe Fantacalcio'!A:I,2,FALSE)),"",VLOOKUP(A219,'Leghe Fantacalcio'!A:I,2,FALSE))</f>
        <v/>
      </c>
      <c r="M219" s="1">
        <f>IF(ISNA(VLOOKUP(B219,'Leghe Fantacalcio'!A:I,2,FALSE)),"",VLOOKUP(B219,'Leghe Fantacalcio'!A:I,2,FALSE))</f>
        <v>7070</v>
      </c>
      <c r="N219" s="1">
        <f t="shared" si="14"/>
        <v>7070</v>
      </c>
      <c r="O219" s="1">
        <f>IFERROR(VLOOKUP(N219,'Leghe Fantacalcio'!B:I,8,FALSE),0)</f>
        <v>19</v>
      </c>
      <c r="P219" s="1" t="str">
        <f t="shared" si="15"/>
        <v>update giocatori set fvm = 19 where id = 1102896;</v>
      </c>
    </row>
    <row r="220" spans="1:16" x14ac:dyDescent="0.25">
      <c r="A220" s="1" t="str">
        <f t="shared" si="12"/>
        <v>ThuramInter</v>
      </c>
      <c r="B220" s="1" t="str">
        <f t="shared" si="13"/>
        <v>Thuram M.Inter</v>
      </c>
      <c r="C220" s="1">
        <v>1063275</v>
      </c>
      <c r="D220" s="1" t="s">
        <v>481</v>
      </c>
      <c r="E220" s="1" t="s">
        <v>572</v>
      </c>
      <c r="F220" s="1" t="s">
        <v>18</v>
      </c>
      <c r="G220" s="1" t="s">
        <v>478</v>
      </c>
      <c r="H220" s="1">
        <v>6</v>
      </c>
      <c r="I220" s="1">
        <v>53</v>
      </c>
      <c r="J220" s="1" t="str">
        <f>VLOOKUP(A220,'Leghe Fantacalcio'!A:I,1,FALSE)</f>
        <v>ThuramInter</v>
      </c>
      <c r="K220" s="1" t="e">
        <f>VLOOKUP(B220,'Leghe Fantacalcio'!A:I,1,FALSE)</f>
        <v>#N/A</v>
      </c>
      <c r="L220" s="1">
        <f>IF(ISNA(VLOOKUP(A220,'Leghe Fantacalcio'!A:I,2,FALSE)),"",VLOOKUP(A220,'Leghe Fantacalcio'!A:I,2,FALSE))</f>
        <v>4871</v>
      </c>
      <c r="M220" s="1" t="str">
        <f>IF(ISNA(VLOOKUP(B220,'Leghe Fantacalcio'!A:I,2,FALSE)),"",VLOOKUP(B220,'Leghe Fantacalcio'!A:I,2,FALSE))</f>
        <v/>
      </c>
      <c r="N220" s="1">
        <f t="shared" si="14"/>
        <v>4871</v>
      </c>
      <c r="O220" s="1">
        <f>IFERROR(VLOOKUP(N220,'Leghe Fantacalcio'!B:I,8,FALSE),0)</f>
        <v>275</v>
      </c>
      <c r="P220" s="1" t="str">
        <f t="shared" si="15"/>
        <v>update giocatori set fvm = 275 where id = 1063275;</v>
      </c>
    </row>
    <row r="221" spans="1:16" x14ac:dyDescent="0.25">
      <c r="A221" s="1" t="str">
        <f t="shared" si="12"/>
        <v>ZielinskiInter</v>
      </c>
      <c r="B221" s="1" t="str">
        <f t="shared" si="13"/>
        <v>Zielinski P.Inter</v>
      </c>
      <c r="C221" s="1">
        <v>1038482</v>
      </c>
      <c r="D221" s="1" t="s">
        <v>307</v>
      </c>
      <c r="E221" s="1" t="s">
        <v>585</v>
      </c>
      <c r="F221" s="1" t="s">
        <v>18</v>
      </c>
      <c r="G221" s="1" t="s">
        <v>283</v>
      </c>
      <c r="H221" s="1">
        <v>6</v>
      </c>
      <c r="I221" s="1">
        <v>35</v>
      </c>
      <c r="J221" s="1" t="str">
        <f>VLOOKUP(A221,'Leghe Fantacalcio'!A:I,1,FALSE)</f>
        <v>ZielinskiInter</v>
      </c>
      <c r="K221" s="1" t="e">
        <f>VLOOKUP(B221,'Leghe Fantacalcio'!A:I,1,FALSE)</f>
        <v>#N/A</v>
      </c>
      <c r="L221" s="1">
        <f>IF(ISNA(VLOOKUP(A221,'Leghe Fantacalcio'!A:I,2,FALSE)),"",VLOOKUP(A221,'Leghe Fantacalcio'!A:I,2,FALSE))</f>
        <v>152</v>
      </c>
      <c r="M221" s="1" t="str">
        <f>IF(ISNA(VLOOKUP(B221,'Leghe Fantacalcio'!A:I,2,FALSE)),"",VLOOKUP(B221,'Leghe Fantacalcio'!A:I,2,FALSE))</f>
        <v/>
      </c>
      <c r="N221" s="1">
        <f t="shared" si="14"/>
        <v>152</v>
      </c>
      <c r="O221" s="1">
        <f>IFERROR(VLOOKUP(N221,'Leghe Fantacalcio'!B:I,8,FALSE),0)</f>
        <v>41</v>
      </c>
      <c r="P221" s="1" t="str">
        <f t="shared" si="15"/>
        <v>update giocatori set fvm = 41 where id = 1038482;</v>
      </c>
    </row>
    <row r="222" spans="1:16" x14ac:dyDescent="0.25">
      <c r="A222" s="1" t="str">
        <f t="shared" si="12"/>
        <v>AlajbegovicJuventus</v>
      </c>
      <c r="B222" s="1" t="str">
        <f t="shared" si="13"/>
        <v>Alajbegovic K.Juventus</v>
      </c>
      <c r="C222" s="1">
        <v>1120447</v>
      </c>
      <c r="D222" s="1" t="s">
        <v>319</v>
      </c>
      <c r="E222" s="1" t="s">
        <v>586</v>
      </c>
      <c r="F222" s="1" t="s">
        <v>14</v>
      </c>
      <c r="G222" s="1" t="s">
        <v>478</v>
      </c>
      <c r="H222" s="1">
        <v>6</v>
      </c>
      <c r="I222" s="1">
        <v>28</v>
      </c>
      <c r="J222" s="1" t="str">
        <f>VLOOKUP(A222,'Leghe Fantacalcio'!A:I,1,FALSE)</f>
        <v>AlajbegovicJuventus</v>
      </c>
      <c r="K222" s="1" t="e">
        <f>VLOOKUP(B222,'Leghe Fantacalcio'!A:I,1,FALSE)</f>
        <v>#N/A</v>
      </c>
      <c r="L222" s="1">
        <f>IF(ISNA(VLOOKUP(A222,'Leghe Fantacalcio'!A:I,2,FALSE)),"",VLOOKUP(A222,'Leghe Fantacalcio'!A:I,2,FALSE))</f>
        <v>7436</v>
      </c>
      <c r="M222" s="1" t="str">
        <f>IF(ISNA(VLOOKUP(B222,'Leghe Fantacalcio'!A:I,2,FALSE)),"",VLOOKUP(B222,'Leghe Fantacalcio'!A:I,2,FALSE))</f>
        <v/>
      </c>
      <c r="N222" s="1">
        <f t="shared" si="14"/>
        <v>7436</v>
      </c>
      <c r="O222" s="1">
        <f>IFERROR(VLOOKUP(N222,'Leghe Fantacalcio'!B:I,8,FALSE),0)</f>
        <v>40</v>
      </c>
      <c r="P222" s="1" t="str">
        <f t="shared" si="15"/>
        <v>update giocatori set fvm = 40 where id = 1120447;</v>
      </c>
    </row>
    <row r="223" spans="1:16" x14ac:dyDescent="0.25">
      <c r="A223" s="1" t="str">
        <f t="shared" si="12"/>
        <v>BogaJuventus</v>
      </c>
      <c r="B223" s="1" t="str">
        <f t="shared" si="13"/>
        <v>Boga J.Juventus</v>
      </c>
      <c r="C223" s="1">
        <v>1046806</v>
      </c>
      <c r="D223" s="1" t="s">
        <v>534</v>
      </c>
      <c r="E223" s="1" t="s">
        <v>571</v>
      </c>
      <c r="F223" s="1" t="s">
        <v>14</v>
      </c>
      <c r="G223" s="1" t="s">
        <v>478</v>
      </c>
      <c r="H223" s="1">
        <v>6</v>
      </c>
      <c r="I223" s="1">
        <v>28</v>
      </c>
      <c r="J223" s="1" t="str">
        <f>VLOOKUP(A223,'Leghe Fantacalcio'!A:I,1,FALSE)</f>
        <v>BogaJuventus</v>
      </c>
      <c r="K223" s="1" t="e">
        <f>VLOOKUP(B223,'Leghe Fantacalcio'!A:I,1,FALSE)</f>
        <v>#N/A</v>
      </c>
      <c r="L223" s="1">
        <f>IF(ISNA(VLOOKUP(A223,'Leghe Fantacalcio'!A:I,2,FALSE)),"",VLOOKUP(A223,'Leghe Fantacalcio'!A:I,2,FALSE))</f>
        <v>2832</v>
      </c>
      <c r="M223" s="1" t="str">
        <f>IF(ISNA(VLOOKUP(B223,'Leghe Fantacalcio'!A:I,2,FALSE)),"",VLOOKUP(B223,'Leghe Fantacalcio'!A:I,2,FALSE))</f>
        <v/>
      </c>
      <c r="N223" s="1">
        <f t="shared" si="14"/>
        <v>2832</v>
      </c>
      <c r="O223" s="1">
        <f>IFERROR(VLOOKUP(N223,'Leghe Fantacalcio'!B:I,8,FALSE),0)</f>
        <v>21</v>
      </c>
      <c r="P223" s="1" t="str">
        <f t="shared" si="15"/>
        <v>update giocatori set fvm = 21 where id = 1046806;</v>
      </c>
    </row>
    <row r="224" spans="1:16" x14ac:dyDescent="0.25">
      <c r="A224" s="1" t="str">
        <f t="shared" si="12"/>
        <v>BremerJuventus</v>
      </c>
      <c r="B224" s="1" t="str">
        <f t="shared" si="13"/>
        <v>Bremer Juventus</v>
      </c>
      <c r="C224" s="1">
        <v>1067789</v>
      </c>
      <c r="D224" s="1" t="s">
        <v>95</v>
      </c>
      <c r="E224" s="1" t="s">
        <v>579</v>
      </c>
      <c r="F224" s="1" t="s">
        <v>14</v>
      </c>
      <c r="G224" s="1" t="s">
        <v>92</v>
      </c>
      <c r="H224" s="1">
        <v>6</v>
      </c>
      <c r="I224" s="1">
        <v>20</v>
      </c>
      <c r="J224" s="1" t="str">
        <f>VLOOKUP(A224,'Leghe Fantacalcio'!A:I,1,FALSE)</f>
        <v>BremerJuventus</v>
      </c>
      <c r="K224" s="1" t="e">
        <f>VLOOKUP(B224,'Leghe Fantacalcio'!A:I,1,FALSE)</f>
        <v>#N/A</v>
      </c>
      <c r="L224" s="1">
        <f>IF(ISNA(VLOOKUP(A224,'Leghe Fantacalcio'!A:I,2,FALSE)),"",VLOOKUP(A224,'Leghe Fantacalcio'!A:I,2,FALSE))</f>
        <v>2788</v>
      </c>
      <c r="M224" s="1" t="str">
        <f>IF(ISNA(VLOOKUP(B224,'Leghe Fantacalcio'!A:I,2,FALSE)),"",VLOOKUP(B224,'Leghe Fantacalcio'!A:I,2,FALSE))</f>
        <v/>
      </c>
      <c r="N224" s="1">
        <f t="shared" si="14"/>
        <v>2788</v>
      </c>
      <c r="O224" s="1">
        <f>IFERROR(VLOOKUP(N224,'Leghe Fantacalcio'!B:I,8,FALSE),0)</f>
        <v>80</v>
      </c>
      <c r="P224" s="1" t="str">
        <f t="shared" si="15"/>
        <v>update giocatori set fvm = 80 where id = 1067789;</v>
      </c>
    </row>
    <row r="225" spans="1:16" x14ac:dyDescent="0.25">
      <c r="A225" s="1" t="str">
        <f t="shared" si="12"/>
        <v>CabalJuventus</v>
      </c>
      <c r="B225" s="1" t="str">
        <f t="shared" si="13"/>
        <v>Cabal J.Juventus</v>
      </c>
      <c r="C225" s="1">
        <v>1115326</v>
      </c>
      <c r="D225" s="1" t="s">
        <v>261</v>
      </c>
      <c r="E225" s="1" t="s">
        <v>571</v>
      </c>
      <c r="F225" s="1" t="s">
        <v>14</v>
      </c>
      <c r="G225" s="1" t="s">
        <v>92</v>
      </c>
      <c r="H225" s="1">
        <v>6</v>
      </c>
      <c r="I225" s="1">
        <v>5</v>
      </c>
      <c r="J225" s="1" t="str">
        <f>VLOOKUP(A225,'Leghe Fantacalcio'!A:I,1,FALSE)</f>
        <v>CabalJuventus</v>
      </c>
      <c r="K225" s="1" t="e">
        <f>VLOOKUP(B225,'Leghe Fantacalcio'!A:I,1,FALSE)</f>
        <v>#N/A</v>
      </c>
      <c r="L225" s="1">
        <f>IF(ISNA(VLOOKUP(A225,'Leghe Fantacalcio'!A:I,2,FALSE)),"",VLOOKUP(A225,'Leghe Fantacalcio'!A:I,2,FALSE))</f>
        <v>6039</v>
      </c>
      <c r="M225" s="1" t="str">
        <f>IF(ISNA(VLOOKUP(B225,'Leghe Fantacalcio'!A:I,2,FALSE)),"",VLOOKUP(B225,'Leghe Fantacalcio'!A:I,2,FALSE))</f>
        <v/>
      </c>
      <c r="N225" s="1">
        <f t="shared" si="14"/>
        <v>6039</v>
      </c>
      <c r="O225" s="1">
        <f>IFERROR(VLOOKUP(N225,'Leghe Fantacalcio'!B:I,8,FALSE),0)</f>
        <v>4</v>
      </c>
      <c r="P225" s="1" t="str">
        <f t="shared" si="15"/>
        <v>update giocatori set fvm = 4 where id = 1115326;</v>
      </c>
    </row>
    <row r="226" spans="1:16" x14ac:dyDescent="0.25">
      <c r="A226" s="1" t="str">
        <f t="shared" si="12"/>
        <v>CambiasoJuventus</v>
      </c>
      <c r="B226" s="1" t="str">
        <f t="shared" si="13"/>
        <v>Cambiaso A.Juventus</v>
      </c>
      <c r="C226" s="1">
        <v>1102281</v>
      </c>
      <c r="D226" s="1" t="s">
        <v>150</v>
      </c>
      <c r="E226" s="1" t="s">
        <v>584</v>
      </c>
      <c r="F226" s="1" t="s">
        <v>14</v>
      </c>
      <c r="G226" s="1" t="s">
        <v>92</v>
      </c>
      <c r="H226" s="1">
        <v>6</v>
      </c>
      <c r="I226" s="1">
        <v>12</v>
      </c>
      <c r="J226" s="1" t="str">
        <f>VLOOKUP(A226,'Leghe Fantacalcio'!A:I,1,FALSE)</f>
        <v>CambiasoJuventus</v>
      </c>
      <c r="K226" s="1" t="e">
        <f>VLOOKUP(B226,'Leghe Fantacalcio'!A:I,1,FALSE)</f>
        <v>#N/A</v>
      </c>
      <c r="L226" s="1">
        <f>IF(ISNA(VLOOKUP(A226,'Leghe Fantacalcio'!A:I,2,FALSE)),"",VLOOKUP(A226,'Leghe Fantacalcio'!A:I,2,FALSE))</f>
        <v>5520</v>
      </c>
      <c r="M226" s="1" t="str">
        <f>IF(ISNA(VLOOKUP(B226,'Leghe Fantacalcio'!A:I,2,FALSE)),"",VLOOKUP(B226,'Leghe Fantacalcio'!A:I,2,FALSE))</f>
        <v/>
      </c>
      <c r="N226" s="1">
        <f t="shared" si="14"/>
        <v>5520</v>
      </c>
      <c r="O226" s="1">
        <f>IFERROR(VLOOKUP(N226,'Leghe Fantacalcio'!B:I,8,FALSE),0)</f>
        <v>10</v>
      </c>
      <c r="P226" s="1" t="str">
        <f t="shared" si="15"/>
        <v>update giocatori set fvm = 10 where id = 1102281;</v>
      </c>
    </row>
    <row r="227" spans="1:16" x14ac:dyDescent="0.25">
      <c r="A227" s="1" t="str">
        <f t="shared" si="12"/>
        <v>CelikJuventus</v>
      </c>
      <c r="B227" s="1" t="str">
        <f t="shared" si="13"/>
        <v>Celik Z.Juventus</v>
      </c>
      <c r="C227" s="1">
        <v>1066280</v>
      </c>
      <c r="D227" s="1" t="s">
        <v>135</v>
      </c>
      <c r="E227" s="1" t="s">
        <v>610</v>
      </c>
      <c r="F227" s="1" t="s">
        <v>14</v>
      </c>
      <c r="G227" s="1" t="s">
        <v>92</v>
      </c>
      <c r="H227" s="1">
        <v>6</v>
      </c>
      <c r="I227" s="1">
        <v>12</v>
      </c>
      <c r="J227" s="1" t="str">
        <f>VLOOKUP(A227,'Leghe Fantacalcio'!A:I,1,FALSE)</f>
        <v>CelikJuventus</v>
      </c>
      <c r="K227" s="1" t="e">
        <f>VLOOKUP(B227,'Leghe Fantacalcio'!A:I,1,FALSE)</f>
        <v>#N/A</v>
      </c>
      <c r="L227" s="1">
        <f>IF(ISNA(VLOOKUP(A227,'Leghe Fantacalcio'!A:I,2,FALSE)),"",VLOOKUP(A227,'Leghe Fantacalcio'!A:I,2,FALSE))</f>
        <v>4657</v>
      </c>
      <c r="M227" s="1" t="str">
        <f>IF(ISNA(VLOOKUP(B227,'Leghe Fantacalcio'!A:I,2,FALSE)),"",VLOOKUP(B227,'Leghe Fantacalcio'!A:I,2,FALSE))</f>
        <v/>
      </c>
      <c r="N227" s="1">
        <f t="shared" si="14"/>
        <v>4657</v>
      </c>
      <c r="O227" s="1">
        <f>IFERROR(VLOOKUP(N227,'Leghe Fantacalcio'!B:I,8,FALSE),0)</f>
        <v>18</v>
      </c>
      <c r="P227" s="1" t="str">
        <f t="shared" si="15"/>
        <v>update giocatori set fvm = 18 where id = 1066280;</v>
      </c>
    </row>
    <row r="228" spans="1:16" x14ac:dyDescent="0.25">
      <c r="A228" s="1" t="str">
        <f t="shared" si="12"/>
        <v>Douglas LuizJuventus</v>
      </c>
      <c r="B228" s="1" t="str">
        <f t="shared" si="13"/>
        <v>Douglas Luiz Juventus</v>
      </c>
      <c r="C228" s="1">
        <v>1064532</v>
      </c>
      <c r="D228" s="1" t="s">
        <v>419</v>
      </c>
      <c r="E228" s="1" t="s">
        <v>579</v>
      </c>
      <c r="F228" s="1" t="s">
        <v>14</v>
      </c>
      <c r="G228" s="1" t="s">
        <v>283</v>
      </c>
      <c r="H228" s="1">
        <v>6</v>
      </c>
      <c r="I228" s="1">
        <v>17</v>
      </c>
      <c r="J228" s="1" t="str">
        <f>VLOOKUP(A228,'Leghe Fantacalcio'!A:I,1,FALSE)</f>
        <v>Douglas LuizJuventus</v>
      </c>
      <c r="K228" s="1" t="e">
        <f>VLOOKUP(B228,'Leghe Fantacalcio'!A:I,1,FALSE)</f>
        <v>#N/A</v>
      </c>
      <c r="L228" s="1">
        <f>IF(ISNA(VLOOKUP(A228,'Leghe Fantacalcio'!A:I,2,FALSE)),"",VLOOKUP(A228,'Leghe Fantacalcio'!A:I,2,FALSE))</f>
        <v>4911</v>
      </c>
      <c r="M228" s="1" t="str">
        <f>IF(ISNA(VLOOKUP(B228,'Leghe Fantacalcio'!A:I,2,FALSE)),"",VLOOKUP(B228,'Leghe Fantacalcio'!A:I,2,FALSE))</f>
        <v/>
      </c>
      <c r="N228" s="1">
        <f t="shared" si="14"/>
        <v>4911</v>
      </c>
      <c r="O228" s="1">
        <f>IFERROR(VLOOKUP(N228,'Leghe Fantacalcio'!B:I,8,FALSE),0)</f>
        <v>16</v>
      </c>
      <c r="P228" s="1" t="str">
        <f t="shared" si="15"/>
        <v>update giocatori set fvm = 16 where id = 1064532;</v>
      </c>
    </row>
    <row r="229" spans="1:16" x14ac:dyDescent="0.25">
      <c r="A229" s="1" t="str">
        <f t="shared" si="12"/>
        <v>EkhatorJuventus</v>
      </c>
      <c r="B229" s="1" t="str">
        <f t="shared" si="13"/>
        <v>Ekhator J.Juventus</v>
      </c>
      <c r="C229" s="1">
        <v>1119727</v>
      </c>
      <c r="D229" s="1" t="s">
        <v>557</v>
      </c>
      <c r="E229" s="1" t="s">
        <v>571</v>
      </c>
      <c r="F229" s="1" t="s">
        <v>14</v>
      </c>
      <c r="G229" s="1" t="s">
        <v>478</v>
      </c>
      <c r="H229" s="1">
        <v>6</v>
      </c>
      <c r="I229" s="1">
        <v>13</v>
      </c>
      <c r="J229" s="1" t="str">
        <f>VLOOKUP(A229,'Leghe Fantacalcio'!A:I,1,FALSE)</f>
        <v>EkhatorJuventus</v>
      </c>
      <c r="K229" s="1" t="e">
        <f>VLOOKUP(B229,'Leghe Fantacalcio'!A:I,1,FALSE)</f>
        <v>#N/A</v>
      </c>
      <c r="L229" s="1">
        <f>IF(ISNA(VLOOKUP(A229,'Leghe Fantacalcio'!A:I,2,FALSE)),"",VLOOKUP(A229,'Leghe Fantacalcio'!A:I,2,FALSE))</f>
        <v>6822</v>
      </c>
      <c r="M229" s="1" t="str">
        <f>IF(ISNA(VLOOKUP(B229,'Leghe Fantacalcio'!A:I,2,FALSE)),"",VLOOKUP(B229,'Leghe Fantacalcio'!A:I,2,FALSE))</f>
        <v/>
      </c>
      <c r="N229" s="1">
        <f t="shared" si="14"/>
        <v>6822</v>
      </c>
      <c r="O229" s="1">
        <f>IFERROR(VLOOKUP(N229,'Leghe Fantacalcio'!B:I,8,FALSE),0)</f>
        <v>6</v>
      </c>
      <c r="P229" s="1" t="str">
        <f t="shared" si="15"/>
        <v>update giocatori set fvm = 6 where id = 1119727;</v>
      </c>
    </row>
    <row r="230" spans="1:16" ht="14.5" x14ac:dyDescent="0.35">
      <c r="A230" s="1" t="str">
        <f t="shared" si="12"/>
        <v>ConceicaoJuventus</v>
      </c>
      <c r="B230" s="1" t="str">
        <f t="shared" si="13"/>
        <v>Conceicao Juventus</v>
      </c>
      <c r="C230" s="1">
        <v>1104526</v>
      </c>
      <c r="D230" t="s">
        <v>301</v>
      </c>
      <c r="E230" s="1" t="s">
        <v>579</v>
      </c>
      <c r="F230" s="1" t="s">
        <v>14</v>
      </c>
      <c r="G230" s="1" t="s">
        <v>283</v>
      </c>
      <c r="H230" s="1">
        <v>6</v>
      </c>
      <c r="I230" s="1">
        <v>35</v>
      </c>
      <c r="J230" s="1" t="str">
        <f>VLOOKUP(A230,'Leghe Fantacalcio'!A:I,1,FALSE)</f>
        <v>ConceicaoJuventus</v>
      </c>
      <c r="K230" s="1" t="e">
        <f>VLOOKUP(B230,'Leghe Fantacalcio'!A:I,1,FALSE)</f>
        <v>#N/A</v>
      </c>
      <c r="L230" s="1">
        <f>IF(ISNA(VLOOKUP(A230,'Leghe Fantacalcio'!A:I,2,FALSE)),"",VLOOKUP(A230,'Leghe Fantacalcio'!A:I,2,FALSE))</f>
        <v>6884</v>
      </c>
      <c r="M230" s="1" t="str">
        <f>IF(ISNA(VLOOKUP(B230,'Leghe Fantacalcio'!A:I,2,FALSE)),"",VLOOKUP(B230,'Leghe Fantacalcio'!A:I,2,FALSE))</f>
        <v/>
      </c>
      <c r="N230" s="1">
        <f t="shared" si="14"/>
        <v>6884</v>
      </c>
      <c r="O230" s="1">
        <f>IFERROR(VLOOKUP(N230,'Leghe Fantacalcio'!B:I,8,FALSE),0)</f>
        <v>70</v>
      </c>
      <c r="P230" s="1" t="str">
        <f t="shared" si="15"/>
        <v>update giocatori set fvm = 70 where id = 1104526;</v>
      </c>
    </row>
    <row r="231" spans="1:16" x14ac:dyDescent="0.25">
      <c r="A231" s="1" t="str">
        <f t="shared" si="12"/>
        <v>GattiJuventus</v>
      </c>
      <c r="B231" s="1" t="str">
        <f t="shared" si="13"/>
        <v>Gatti F.Juventus</v>
      </c>
      <c r="C231" s="1">
        <v>1110166</v>
      </c>
      <c r="D231" s="1" t="s">
        <v>187</v>
      </c>
      <c r="E231" s="1" t="s">
        <v>589</v>
      </c>
      <c r="F231" s="1" t="s">
        <v>14</v>
      </c>
      <c r="G231" s="1" t="s">
        <v>92</v>
      </c>
      <c r="H231" s="1">
        <v>6</v>
      </c>
      <c r="I231" s="1">
        <v>12</v>
      </c>
      <c r="J231" s="1" t="str">
        <f>VLOOKUP(A231,'Leghe Fantacalcio'!A:I,1,FALSE)</f>
        <v>GattiJuventus</v>
      </c>
      <c r="K231" s="1" t="e">
        <f>VLOOKUP(B231,'Leghe Fantacalcio'!A:I,1,FALSE)</f>
        <v>#N/A</v>
      </c>
      <c r="L231" s="1">
        <f>IF(ISNA(VLOOKUP(A231,'Leghe Fantacalcio'!A:I,2,FALSE)),"",VLOOKUP(A231,'Leghe Fantacalcio'!A:I,2,FALSE))</f>
        <v>5831</v>
      </c>
      <c r="M231" s="1" t="str">
        <f>IF(ISNA(VLOOKUP(B231,'Leghe Fantacalcio'!A:I,2,FALSE)),"",VLOOKUP(B231,'Leghe Fantacalcio'!A:I,2,FALSE))</f>
        <v/>
      </c>
      <c r="N231" s="1">
        <f t="shared" si="14"/>
        <v>5831</v>
      </c>
      <c r="O231" s="1">
        <f>IFERROR(VLOOKUP(N231,'Leghe Fantacalcio'!B:I,8,FALSE),0)</f>
        <v>11</v>
      </c>
      <c r="P231" s="1" t="str">
        <f t="shared" si="15"/>
        <v>update giocatori set fvm = 11 where id = 1110166;</v>
      </c>
    </row>
    <row r="232" spans="1:16" x14ac:dyDescent="0.25">
      <c r="A232" s="1" t="str">
        <f t="shared" si="12"/>
        <v>GonzalezJuventus</v>
      </c>
      <c r="B232" s="1" t="str">
        <f t="shared" si="13"/>
        <v>Gonzalez N.Juventus</v>
      </c>
      <c r="C232" s="1">
        <v>1095132</v>
      </c>
      <c r="D232" s="1" t="s">
        <v>677</v>
      </c>
      <c r="E232" s="1" t="s">
        <v>578</v>
      </c>
      <c r="F232" s="1" t="s">
        <v>14</v>
      </c>
      <c r="G232" s="1" t="s">
        <v>478</v>
      </c>
      <c r="H232" s="1">
        <v>6</v>
      </c>
      <c r="I232" s="1">
        <v>21</v>
      </c>
      <c r="J232" s="1" t="e">
        <f>VLOOKUP(A232,'Leghe Fantacalcio'!A:I,1,FALSE)</f>
        <v>#N/A</v>
      </c>
      <c r="K232" s="1" t="str">
        <f>VLOOKUP(B232,'Leghe Fantacalcio'!A:I,1,FALSE)</f>
        <v>Gonzalez N.Juventus</v>
      </c>
      <c r="L232" s="1" t="str">
        <f>IF(ISNA(VLOOKUP(A232,'Leghe Fantacalcio'!A:I,2,FALSE)),"",VLOOKUP(A232,'Leghe Fantacalcio'!A:I,2,FALSE))</f>
        <v/>
      </c>
      <c r="M232" s="1">
        <f>IF(ISNA(VLOOKUP(B232,'Leghe Fantacalcio'!A:I,2,FALSE)),"",VLOOKUP(B232,'Leghe Fantacalcio'!A:I,2,FALSE))</f>
        <v>4179</v>
      </c>
      <c r="N232" s="1">
        <f t="shared" si="14"/>
        <v>4179</v>
      </c>
      <c r="O232" s="1">
        <f>IFERROR(VLOOKUP(N232,'Leghe Fantacalcio'!B:I,8,FALSE),0)</f>
        <v>46</v>
      </c>
      <c r="P232" s="1" t="str">
        <f t="shared" si="15"/>
        <v>update giocatori set fvm = 46 where id = 1095132;</v>
      </c>
    </row>
    <row r="233" spans="1:16" x14ac:dyDescent="0.25">
      <c r="A233" s="1" t="str">
        <f t="shared" si="12"/>
        <v>GrabaraJuventus</v>
      </c>
      <c r="B233" s="1" t="str">
        <f t="shared" si="13"/>
        <v>Grabara K.Juventus</v>
      </c>
      <c r="C233" s="1">
        <v>1102431</v>
      </c>
      <c r="D233" s="1" t="s">
        <v>88</v>
      </c>
      <c r="E233" s="1" t="s">
        <v>586</v>
      </c>
      <c r="F233" s="1" t="s">
        <v>14</v>
      </c>
      <c r="G233" s="1" t="s">
        <v>8</v>
      </c>
      <c r="H233" s="1">
        <v>6</v>
      </c>
      <c r="I233" s="1">
        <v>1</v>
      </c>
      <c r="J233" s="1" t="str">
        <f>VLOOKUP(A233,'Leghe Fantacalcio'!A:I,1,FALSE)</f>
        <v>GrabaraJuventus</v>
      </c>
      <c r="K233" s="1" t="e">
        <f>VLOOKUP(B233,'Leghe Fantacalcio'!A:I,1,FALSE)</f>
        <v>#N/A</v>
      </c>
      <c r="L233" s="1">
        <f>IF(ISNA(VLOOKUP(A233,'Leghe Fantacalcio'!A:I,2,FALSE)),"",VLOOKUP(A233,'Leghe Fantacalcio'!A:I,2,FALSE))</f>
        <v>7603</v>
      </c>
      <c r="M233" s="1" t="str">
        <f>IF(ISNA(VLOOKUP(B233,'Leghe Fantacalcio'!A:I,2,FALSE)),"",VLOOKUP(B233,'Leghe Fantacalcio'!A:I,2,FALSE))</f>
        <v/>
      </c>
      <c r="N233" s="1">
        <f t="shared" si="14"/>
        <v>7603</v>
      </c>
      <c r="O233" s="1">
        <f>IFERROR(VLOOKUP(N233,'Leghe Fantacalcio'!B:I,8,FALSE),0)</f>
        <v>1</v>
      </c>
      <c r="P233" s="1" t="str">
        <f t="shared" si="15"/>
        <v>update giocatori set fvm = 1 where id = 1102431;</v>
      </c>
    </row>
    <row r="234" spans="1:16" x14ac:dyDescent="0.25">
      <c r="A234" s="1" t="str">
        <f t="shared" si="12"/>
        <v>KaluluJuventus</v>
      </c>
      <c r="B234" s="1" t="str">
        <f t="shared" si="13"/>
        <v>Kalulu P.Juventus</v>
      </c>
      <c r="C234" s="1">
        <v>1101889</v>
      </c>
      <c r="D234" s="1" t="s">
        <v>102</v>
      </c>
      <c r="E234" s="1" t="s">
        <v>585</v>
      </c>
      <c r="F234" s="1" t="s">
        <v>14</v>
      </c>
      <c r="G234" s="1" t="s">
        <v>92</v>
      </c>
      <c r="H234" s="1">
        <v>6</v>
      </c>
      <c r="I234" s="1">
        <v>14</v>
      </c>
      <c r="J234" s="1" t="str">
        <f>VLOOKUP(A234,'Leghe Fantacalcio'!A:I,1,FALSE)</f>
        <v>KaluluJuventus</v>
      </c>
      <c r="K234" s="1" t="e">
        <f>VLOOKUP(B234,'Leghe Fantacalcio'!A:I,1,FALSE)</f>
        <v>#N/A</v>
      </c>
      <c r="L234" s="1">
        <f>IF(ISNA(VLOOKUP(A234,'Leghe Fantacalcio'!A:I,2,FALSE)),"",VLOOKUP(A234,'Leghe Fantacalcio'!A:I,2,FALSE))</f>
        <v>4976</v>
      </c>
      <c r="M234" s="1" t="str">
        <f>IF(ISNA(VLOOKUP(B234,'Leghe Fantacalcio'!A:I,2,FALSE)),"",VLOOKUP(B234,'Leghe Fantacalcio'!A:I,2,FALSE))</f>
        <v/>
      </c>
      <c r="N234" s="1">
        <f t="shared" si="14"/>
        <v>4976</v>
      </c>
      <c r="O234" s="1">
        <f>IFERROR(VLOOKUP(N234,'Leghe Fantacalcio'!B:I,8,FALSE),0)</f>
        <v>41</v>
      </c>
      <c r="P234" s="1" t="str">
        <f t="shared" si="15"/>
        <v>update giocatori set fvm = 41 where id = 1101889;</v>
      </c>
    </row>
    <row r="235" spans="1:16" x14ac:dyDescent="0.25">
      <c r="A235" s="1" t="str">
        <f t="shared" si="12"/>
        <v>KellyJuventus</v>
      </c>
      <c r="B235" s="1" t="str">
        <f t="shared" si="13"/>
        <v>Kelly L.Juventus</v>
      </c>
      <c r="C235" s="1">
        <v>1071322</v>
      </c>
      <c r="D235" s="1" t="s">
        <v>621</v>
      </c>
      <c r="E235" s="1" t="s">
        <v>590</v>
      </c>
      <c r="F235" s="1" t="s">
        <v>14</v>
      </c>
      <c r="G235" s="1" t="s">
        <v>92</v>
      </c>
      <c r="H235" s="1">
        <v>6</v>
      </c>
      <c r="I235" s="1">
        <v>12</v>
      </c>
      <c r="J235" s="1" t="e">
        <f>VLOOKUP(A235,'Leghe Fantacalcio'!A:I,1,FALSE)</f>
        <v>#N/A</v>
      </c>
      <c r="K235" s="1" t="str">
        <f>VLOOKUP(B235,'Leghe Fantacalcio'!A:I,1,FALSE)</f>
        <v>Kelly L.Juventus</v>
      </c>
      <c r="L235" s="1" t="str">
        <f>IF(ISNA(VLOOKUP(A235,'Leghe Fantacalcio'!A:I,2,FALSE)),"",VLOOKUP(A235,'Leghe Fantacalcio'!A:I,2,FALSE))</f>
        <v/>
      </c>
      <c r="M235" s="1">
        <f>IF(ISNA(VLOOKUP(B235,'Leghe Fantacalcio'!A:I,2,FALSE)),"",VLOOKUP(B235,'Leghe Fantacalcio'!A:I,2,FALSE))</f>
        <v>6766</v>
      </c>
      <c r="N235" s="1">
        <f t="shared" si="14"/>
        <v>6766</v>
      </c>
      <c r="O235" s="1">
        <f>IFERROR(VLOOKUP(N235,'Leghe Fantacalcio'!B:I,8,FALSE),0)</f>
        <v>12</v>
      </c>
      <c r="P235" s="1" t="str">
        <f t="shared" si="15"/>
        <v>update giocatori set fvm = 12 where id = 1071322;</v>
      </c>
    </row>
    <row r="236" spans="1:16" x14ac:dyDescent="0.25">
      <c r="A236" s="1" t="str">
        <f t="shared" si="12"/>
        <v>Kolo MuaniJuventus</v>
      </c>
      <c r="B236" s="1" t="str">
        <f t="shared" si="13"/>
        <v>Kolo Muani R.Juventus</v>
      </c>
      <c r="C236" s="1">
        <v>1095331</v>
      </c>
      <c r="D236" s="1" t="s">
        <v>485</v>
      </c>
      <c r="E236" s="1" t="s">
        <v>581</v>
      </c>
      <c r="F236" s="1" t="s">
        <v>14</v>
      </c>
      <c r="G236" s="1" t="s">
        <v>478</v>
      </c>
      <c r="H236" s="1">
        <v>6</v>
      </c>
      <c r="I236" s="1">
        <v>45</v>
      </c>
      <c r="J236" s="1" t="str">
        <f>VLOOKUP(A236,'Leghe Fantacalcio'!A:I,1,FALSE)</f>
        <v>Kolo MuaniJuventus</v>
      </c>
      <c r="K236" s="1" t="e">
        <f>VLOOKUP(B236,'Leghe Fantacalcio'!A:I,1,FALSE)</f>
        <v>#N/A</v>
      </c>
      <c r="L236" s="1">
        <f>IF(ISNA(VLOOKUP(A236,'Leghe Fantacalcio'!A:I,2,FALSE)),"",VLOOKUP(A236,'Leghe Fantacalcio'!A:I,2,FALSE))</f>
        <v>5951</v>
      </c>
      <c r="M236" s="1" t="str">
        <f>IF(ISNA(VLOOKUP(B236,'Leghe Fantacalcio'!A:I,2,FALSE)),"",VLOOKUP(B236,'Leghe Fantacalcio'!A:I,2,FALSE))</f>
        <v/>
      </c>
      <c r="N236" s="1">
        <f t="shared" si="14"/>
        <v>5951</v>
      </c>
      <c r="O236" s="1">
        <f>IFERROR(VLOOKUP(N236,'Leghe Fantacalcio'!B:I,8,FALSE),0)</f>
        <v>122</v>
      </c>
      <c r="P236" s="1" t="str">
        <f t="shared" si="15"/>
        <v>update giocatori set fvm = 122 where id = 1095331;</v>
      </c>
    </row>
    <row r="237" spans="1:16" x14ac:dyDescent="0.25">
      <c r="A237" s="1" t="str">
        <f t="shared" si="12"/>
        <v>KoopmeinersJuventus</v>
      </c>
      <c r="B237" s="1" t="str">
        <f t="shared" si="13"/>
        <v>Koopmeiners T.Juventus</v>
      </c>
      <c r="C237" s="1">
        <v>1068771</v>
      </c>
      <c r="D237" s="1" t="s">
        <v>353</v>
      </c>
      <c r="E237" s="1" t="s">
        <v>599</v>
      </c>
      <c r="F237" s="1" t="s">
        <v>14</v>
      </c>
      <c r="G237" s="1" t="s">
        <v>283</v>
      </c>
      <c r="H237" s="1">
        <v>6</v>
      </c>
      <c r="I237" s="1">
        <v>23</v>
      </c>
      <c r="J237" s="1" t="str">
        <f>VLOOKUP(A237,'Leghe Fantacalcio'!A:I,1,FALSE)</f>
        <v>KoopmeinersJuventus</v>
      </c>
      <c r="K237" s="1" t="e">
        <f>VLOOKUP(B237,'Leghe Fantacalcio'!A:I,1,FALSE)</f>
        <v>#N/A</v>
      </c>
      <c r="L237" s="1">
        <f>IF(ISNA(VLOOKUP(A237,'Leghe Fantacalcio'!A:I,2,FALSE)),"",VLOOKUP(A237,'Leghe Fantacalcio'!A:I,2,FALSE))</f>
        <v>5685</v>
      </c>
      <c r="M237" s="1" t="str">
        <f>IF(ISNA(VLOOKUP(B237,'Leghe Fantacalcio'!A:I,2,FALSE)),"",VLOOKUP(B237,'Leghe Fantacalcio'!A:I,2,FALSE))</f>
        <v/>
      </c>
      <c r="N237" s="1">
        <f t="shared" si="14"/>
        <v>5685</v>
      </c>
      <c r="O237" s="1">
        <f>IFERROR(VLOOKUP(N237,'Leghe Fantacalcio'!B:I,8,FALSE),0)</f>
        <v>18</v>
      </c>
      <c r="P237" s="1" t="str">
        <f t="shared" si="15"/>
        <v>update giocatori set fvm = 18 where id = 1068771;</v>
      </c>
    </row>
    <row r="238" spans="1:16" x14ac:dyDescent="0.25">
      <c r="A238" s="1" t="str">
        <f t="shared" si="12"/>
        <v>LocatelliJuventus</v>
      </c>
      <c r="B238" s="1" t="str">
        <f t="shared" si="13"/>
        <v>Locatelli M.Juventus</v>
      </c>
      <c r="C238" s="1">
        <v>1050523</v>
      </c>
      <c r="D238" s="1" t="s">
        <v>351</v>
      </c>
      <c r="E238" s="1" t="s">
        <v>572</v>
      </c>
      <c r="F238" s="1" t="s">
        <v>14</v>
      </c>
      <c r="G238" s="1" t="s">
        <v>283</v>
      </c>
      <c r="H238" s="1">
        <v>6</v>
      </c>
      <c r="I238" s="1">
        <v>25</v>
      </c>
      <c r="J238" s="1" t="str">
        <f>VLOOKUP(A238,'Leghe Fantacalcio'!A:I,1,FALSE)</f>
        <v>LocatelliJuventus</v>
      </c>
      <c r="K238" s="1" t="e">
        <f>VLOOKUP(B238,'Leghe Fantacalcio'!A:I,1,FALSE)</f>
        <v>#N/A</v>
      </c>
      <c r="L238" s="1">
        <f>IF(ISNA(VLOOKUP(A238,'Leghe Fantacalcio'!A:I,2,FALSE)),"",VLOOKUP(A238,'Leghe Fantacalcio'!A:I,2,FALSE))</f>
        <v>827</v>
      </c>
      <c r="M238" s="1" t="str">
        <f>IF(ISNA(VLOOKUP(B238,'Leghe Fantacalcio'!A:I,2,FALSE)),"",VLOOKUP(B238,'Leghe Fantacalcio'!A:I,2,FALSE))</f>
        <v/>
      </c>
      <c r="N238" s="1">
        <f t="shared" si="14"/>
        <v>827</v>
      </c>
      <c r="O238" s="1">
        <f>IFERROR(VLOOKUP(N238,'Leghe Fantacalcio'!B:I,8,FALSE),0)</f>
        <v>15</v>
      </c>
      <c r="P238" s="1" t="str">
        <f t="shared" si="15"/>
        <v>update giocatori set fvm = 15 where id = 1050523;</v>
      </c>
    </row>
    <row r="239" spans="1:16" ht="14.5" x14ac:dyDescent="0.35">
      <c r="A239" s="1" t="str">
        <f t="shared" si="12"/>
        <v>LucumìJuventus</v>
      </c>
      <c r="B239" s="1" t="str">
        <f t="shared" si="13"/>
        <v>Lucumì J.Juventus</v>
      </c>
      <c r="C239" s="1">
        <v>1068545</v>
      </c>
      <c r="D239" t="s">
        <v>128</v>
      </c>
      <c r="E239" s="1" t="s">
        <v>571</v>
      </c>
      <c r="F239" s="1" t="s">
        <v>14</v>
      </c>
      <c r="G239" s="1" t="s">
        <v>92</v>
      </c>
      <c r="H239" s="1">
        <v>6</v>
      </c>
      <c r="I239" s="1">
        <v>10</v>
      </c>
      <c r="J239" s="1" t="str">
        <f>VLOOKUP(A239,'Leghe Fantacalcio'!A:I,1,FALSE)</f>
        <v>LucumìJuventus</v>
      </c>
      <c r="K239" s="1" t="e">
        <f>VLOOKUP(B239,'Leghe Fantacalcio'!A:I,1,FALSE)</f>
        <v>#N/A</v>
      </c>
      <c r="L239" s="1">
        <f>IF(ISNA(VLOOKUP(A239,'Leghe Fantacalcio'!A:I,2,FALSE)),"",VLOOKUP(A239,'Leghe Fantacalcio'!A:I,2,FALSE))</f>
        <v>6042</v>
      </c>
      <c r="M239" s="1" t="str">
        <f>IF(ISNA(VLOOKUP(B239,'Leghe Fantacalcio'!A:I,2,FALSE)),"",VLOOKUP(B239,'Leghe Fantacalcio'!A:I,2,FALSE))</f>
        <v/>
      </c>
      <c r="N239" s="1">
        <f t="shared" si="14"/>
        <v>6042</v>
      </c>
      <c r="O239" s="1">
        <f>IFERROR(VLOOKUP(N239,'Leghe Fantacalcio'!B:I,8,FALSE),0)</f>
        <v>18</v>
      </c>
      <c r="P239" s="1" t="str">
        <f t="shared" si="15"/>
        <v>update giocatori set fvm = 18 where id = 1068545;</v>
      </c>
    </row>
    <row r="240" spans="1:16" x14ac:dyDescent="0.25">
      <c r="A240" s="1" t="str">
        <f t="shared" si="12"/>
        <v>McKennieJuventus</v>
      </c>
      <c r="B240" s="1" t="str">
        <f t="shared" si="13"/>
        <v>McKennie W.Juventus</v>
      </c>
      <c r="C240" s="1">
        <v>1095073</v>
      </c>
      <c r="D240" s="1" t="s">
        <v>297</v>
      </c>
      <c r="E240" s="1" t="s">
        <v>582</v>
      </c>
      <c r="F240" s="1" t="s">
        <v>14</v>
      </c>
      <c r="G240" s="1" t="s">
        <v>283</v>
      </c>
      <c r="H240" s="1">
        <v>6</v>
      </c>
      <c r="I240" s="1">
        <v>28</v>
      </c>
      <c r="J240" s="1" t="str">
        <f>VLOOKUP(A240,'Leghe Fantacalcio'!A:I,1,FALSE)</f>
        <v>McKennieJuventus</v>
      </c>
      <c r="K240" s="1" t="e">
        <f>VLOOKUP(B240,'Leghe Fantacalcio'!A:I,1,FALSE)</f>
        <v>#N/A</v>
      </c>
      <c r="L240" s="1">
        <f>IF(ISNA(VLOOKUP(A240,'Leghe Fantacalcio'!A:I,2,FALSE)),"",VLOOKUP(A240,'Leghe Fantacalcio'!A:I,2,FALSE))</f>
        <v>4973</v>
      </c>
      <c r="M240" s="1" t="str">
        <f>IF(ISNA(VLOOKUP(B240,'Leghe Fantacalcio'!A:I,2,FALSE)),"",VLOOKUP(B240,'Leghe Fantacalcio'!A:I,2,FALSE))</f>
        <v/>
      </c>
      <c r="N240" s="1">
        <f t="shared" si="14"/>
        <v>4973</v>
      </c>
      <c r="O240" s="1">
        <f>IFERROR(VLOOKUP(N240,'Leghe Fantacalcio'!B:I,8,FALSE),0)</f>
        <v>61</v>
      </c>
      <c r="P240" s="1" t="str">
        <f t="shared" si="15"/>
        <v>update giocatori set fvm = 61 where id = 1095073;</v>
      </c>
    </row>
    <row r="241" spans="1:16" x14ac:dyDescent="0.25">
      <c r="A241" s="1" t="str">
        <f t="shared" si="12"/>
        <v>MilikJuventus</v>
      </c>
      <c r="B241" s="1" t="str">
        <f t="shared" si="13"/>
        <v>Milik A.Juventus</v>
      </c>
      <c r="C241" s="1">
        <v>1038874</v>
      </c>
      <c r="D241" s="1" t="s">
        <v>550</v>
      </c>
      <c r="E241" s="1" t="s">
        <v>584</v>
      </c>
      <c r="F241" s="1" t="s">
        <v>14</v>
      </c>
      <c r="G241" s="1" t="s">
        <v>478</v>
      </c>
      <c r="H241" s="1">
        <v>6</v>
      </c>
      <c r="I241" s="1">
        <v>7</v>
      </c>
      <c r="J241" s="1" t="str">
        <f>VLOOKUP(A241,'Leghe Fantacalcio'!A:I,1,FALSE)</f>
        <v>MilikJuventus</v>
      </c>
      <c r="K241" s="1" t="e">
        <f>VLOOKUP(B241,'Leghe Fantacalcio'!A:I,1,FALSE)</f>
        <v>#N/A</v>
      </c>
      <c r="L241" s="1">
        <f>IF(ISNA(VLOOKUP(A241,'Leghe Fantacalcio'!A:I,2,FALSE)),"",VLOOKUP(A241,'Leghe Fantacalcio'!A:I,2,FALSE))</f>
        <v>2012</v>
      </c>
      <c r="M241" s="1" t="str">
        <f>IF(ISNA(VLOOKUP(B241,'Leghe Fantacalcio'!A:I,2,FALSE)),"",VLOOKUP(B241,'Leghe Fantacalcio'!A:I,2,FALSE))</f>
        <v/>
      </c>
      <c r="N241" s="1">
        <f t="shared" si="14"/>
        <v>2012</v>
      </c>
      <c r="O241" s="1">
        <f>IFERROR(VLOOKUP(N241,'Leghe Fantacalcio'!B:I,8,FALSE),0)</f>
        <v>1</v>
      </c>
      <c r="P241" s="1" t="str">
        <f t="shared" si="15"/>
        <v>update giocatori set fvm = 1 where id = 1038874;</v>
      </c>
    </row>
    <row r="242" spans="1:16" x14ac:dyDescent="0.25">
      <c r="A242" s="1" t="str">
        <f t="shared" si="12"/>
        <v>PinsoglioJuventus</v>
      </c>
      <c r="B242" s="1" t="str">
        <f t="shared" si="13"/>
        <v>Pinsoglio C.Juventus</v>
      </c>
      <c r="C242" s="1">
        <v>1020980</v>
      </c>
      <c r="D242" s="1" t="s">
        <v>66</v>
      </c>
      <c r="E242" s="1" t="s">
        <v>592</v>
      </c>
      <c r="F242" s="1" t="s">
        <v>14</v>
      </c>
      <c r="G242" s="1" t="s">
        <v>8</v>
      </c>
      <c r="H242" s="1">
        <v>6</v>
      </c>
      <c r="I242" s="1">
        <v>1</v>
      </c>
      <c r="J242" s="1" t="str">
        <f>VLOOKUP(A242,'Leghe Fantacalcio'!A:I,1,FALSE)</f>
        <v>PinsoglioJuventus</v>
      </c>
      <c r="K242" s="1" t="e">
        <f>VLOOKUP(B242,'Leghe Fantacalcio'!A:I,1,FALSE)</f>
        <v>#N/A</v>
      </c>
      <c r="L242" s="1">
        <f>IF(ISNA(VLOOKUP(A242,'Leghe Fantacalcio'!A:I,2,FALSE)),"",VLOOKUP(A242,'Leghe Fantacalcio'!A:I,2,FALSE))</f>
        <v>1930</v>
      </c>
      <c r="M242" s="1" t="str">
        <f>IF(ISNA(VLOOKUP(B242,'Leghe Fantacalcio'!A:I,2,FALSE)),"",VLOOKUP(B242,'Leghe Fantacalcio'!A:I,2,FALSE))</f>
        <v/>
      </c>
      <c r="N242" s="1">
        <f t="shared" si="14"/>
        <v>1930</v>
      </c>
      <c r="O242" s="1">
        <f>IFERROR(VLOOKUP(N242,'Leghe Fantacalcio'!B:I,8,FALSE),0)</f>
        <v>1</v>
      </c>
      <c r="P242" s="1" t="str">
        <f t="shared" si="15"/>
        <v>update giocatori set fvm = 1 where id = 1020980;</v>
      </c>
    </row>
    <row r="243" spans="1:16" x14ac:dyDescent="0.25">
      <c r="A243" s="1" t="str">
        <f t="shared" si="12"/>
        <v>RaduJuventus</v>
      </c>
      <c r="B243" s="1" t="str">
        <f t="shared" si="13"/>
        <v>Radu R.Juventus</v>
      </c>
      <c r="C243" s="1">
        <v>1120369</v>
      </c>
      <c r="D243" s="1" t="s">
        <v>601</v>
      </c>
      <c r="E243" s="1" t="s">
        <v>581</v>
      </c>
      <c r="F243" s="1" t="s">
        <v>14</v>
      </c>
      <c r="G243" s="1" t="s">
        <v>8</v>
      </c>
      <c r="H243" s="1">
        <v>6</v>
      </c>
      <c r="I243" s="1">
        <v>1</v>
      </c>
      <c r="J243" s="1" t="e">
        <f>VLOOKUP(A243,'Leghe Fantacalcio'!A:I,1,FALSE)</f>
        <v>#N/A</v>
      </c>
      <c r="K243" s="1" t="e">
        <f>VLOOKUP(B243,'Leghe Fantacalcio'!A:I,1,FALSE)</f>
        <v>#N/A</v>
      </c>
      <c r="L243" s="1" t="str">
        <f>IF(ISNA(VLOOKUP(A243,'Leghe Fantacalcio'!A:I,2,FALSE)),"",VLOOKUP(A243,'Leghe Fantacalcio'!A:I,2,FALSE))</f>
        <v/>
      </c>
      <c r="M243" s="1" t="str">
        <f>IF(ISNA(VLOOKUP(B243,'Leghe Fantacalcio'!A:I,2,FALSE)),"",VLOOKUP(B243,'Leghe Fantacalcio'!A:I,2,FALSE))</f>
        <v/>
      </c>
      <c r="N243" s="1" t="str">
        <f t="shared" si="14"/>
        <v/>
      </c>
      <c r="O243" s="1">
        <f>IFERROR(VLOOKUP(N243,'Leghe Fantacalcio'!B:I,8,FALSE),0)</f>
        <v>0</v>
      </c>
      <c r="P243" s="1" t="str">
        <f t="shared" si="15"/>
        <v>update giocatori set fvm = 0 where id = 1120369;</v>
      </c>
    </row>
    <row r="244" spans="1:16" x14ac:dyDescent="0.25">
      <c r="A244" s="1" t="str">
        <f t="shared" si="12"/>
        <v>RuganiJuventus</v>
      </c>
      <c r="B244" s="1" t="str">
        <f t="shared" si="13"/>
        <v>Rugani D.Juventus</v>
      </c>
      <c r="C244" s="1">
        <v>1039349</v>
      </c>
      <c r="D244" s="1" t="s">
        <v>260</v>
      </c>
      <c r="E244" s="1" t="s">
        <v>593</v>
      </c>
      <c r="F244" s="1" t="s">
        <v>14</v>
      </c>
      <c r="G244" s="1" t="s">
        <v>92</v>
      </c>
      <c r="H244" s="1">
        <v>6</v>
      </c>
      <c r="I244" s="1">
        <v>1</v>
      </c>
      <c r="J244" s="1" t="str">
        <f>VLOOKUP(A244,'Leghe Fantacalcio'!A:I,1,FALSE)</f>
        <v>RuganiJuventus</v>
      </c>
      <c r="K244" s="1" t="e">
        <f>VLOOKUP(B244,'Leghe Fantacalcio'!A:I,1,FALSE)</f>
        <v>#N/A</v>
      </c>
      <c r="L244" s="1">
        <f>IF(ISNA(VLOOKUP(A244,'Leghe Fantacalcio'!A:I,2,FALSE)),"",VLOOKUP(A244,'Leghe Fantacalcio'!A:I,2,FALSE))</f>
        <v>294</v>
      </c>
      <c r="M244" s="1" t="str">
        <f>IF(ISNA(VLOOKUP(B244,'Leghe Fantacalcio'!A:I,2,FALSE)),"",VLOOKUP(B244,'Leghe Fantacalcio'!A:I,2,FALSE))</f>
        <v/>
      </c>
      <c r="N244" s="1">
        <f t="shared" si="14"/>
        <v>294</v>
      </c>
      <c r="O244" s="1">
        <f>IFERROR(VLOOKUP(N244,'Leghe Fantacalcio'!B:I,8,FALSE),0)</f>
        <v>3</v>
      </c>
      <c r="P244" s="1" t="str">
        <f t="shared" si="15"/>
        <v>update giocatori set fvm = 3 where id = 1039349;</v>
      </c>
    </row>
    <row r="245" spans="1:16" x14ac:dyDescent="0.25">
      <c r="A245" s="1" t="str">
        <f t="shared" si="12"/>
        <v>SarrJuventus</v>
      </c>
      <c r="B245" s="1" t="str">
        <f t="shared" si="13"/>
        <v>Sarr P.Juventus</v>
      </c>
      <c r="C245" s="1">
        <v>1102659</v>
      </c>
      <c r="D245" s="1" t="s">
        <v>661</v>
      </c>
      <c r="E245" s="1" t="s">
        <v>585</v>
      </c>
      <c r="F245" s="1" t="s">
        <v>14</v>
      </c>
      <c r="G245" s="1" t="s">
        <v>283</v>
      </c>
      <c r="H245" s="1">
        <v>6</v>
      </c>
      <c r="I245" s="1">
        <v>32</v>
      </c>
      <c r="J245" s="1" t="e">
        <f>VLOOKUP(A245,'Leghe Fantacalcio'!A:I,1,FALSE)</f>
        <v>#N/A</v>
      </c>
      <c r="K245" s="1" t="str">
        <f>VLOOKUP(B245,'Leghe Fantacalcio'!A:I,1,FALSE)</f>
        <v>Sarr P.Juventus</v>
      </c>
      <c r="L245" s="1" t="str">
        <f>IF(ISNA(VLOOKUP(A245,'Leghe Fantacalcio'!A:I,2,FALSE)),"",VLOOKUP(A245,'Leghe Fantacalcio'!A:I,2,FALSE))</f>
        <v/>
      </c>
      <c r="M245" s="1">
        <f>IF(ISNA(VLOOKUP(B245,'Leghe Fantacalcio'!A:I,2,FALSE)),"",VLOOKUP(B245,'Leghe Fantacalcio'!A:I,2,FALSE))</f>
        <v>5680</v>
      </c>
      <c r="N245" s="1">
        <f t="shared" si="14"/>
        <v>5680</v>
      </c>
      <c r="O245" s="1">
        <f>IFERROR(VLOOKUP(N245,'Leghe Fantacalcio'!B:I,8,FALSE),0)</f>
        <v>23</v>
      </c>
      <c r="P245" s="1" t="str">
        <f t="shared" si="15"/>
        <v>update giocatori set fvm = 23 where id = 1102659;</v>
      </c>
    </row>
    <row r="246" spans="1:16" x14ac:dyDescent="0.25">
      <c r="A246" s="1" t="str">
        <f t="shared" si="12"/>
        <v>ThuramJuventus</v>
      </c>
      <c r="B246" s="1" t="str">
        <f t="shared" si="13"/>
        <v>Thuram K.Juventus</v>
      </c>
      <c r="C246" s="1">
        <v>1070081</v>
      </c>
      <c r="D246" s="1" t="s">
        <v>481</v>
      </c>
      <c r="E246" s="1" t="s">
        <v>586</v>
      </c>
      <c r="F246" s="1" t="s">
        <v>14</v>
      </c>
      <c r="G246" s="1" t="s">
        <v>283</v>
      </c>
      <c r="H246" s="1">
        <v>6</v>
      </c>
      <c r="I246" s="1">
        <v>19</v>
      </c>
      <c r="J246" s="1" t="e">
        <f>VLOOKUP(A246,'Leghe Fantacalcio'!A:I,1,FALSE)</f>
        <v>#N/A</v>
      </c>
      <c r="K246" s="1" t="str">
        <f>VLOOKUP(B246,'Leghe Fantacalcio'!A:I,1,FALSE)</f>
        <v>Thuram K.Juventus</v>
      </c>
      <c r="L246" s="1" t="str">
        <f>IF(ISNA(VLOOKUP(A246,'Leghe Fantacalcio'!A:I,2,FALSE)),"",VLOOKUP(A246,'Leghe Fantacalcio'!A:I,2,FALSE))</f>
        <v/>
      </c>
      <c r="M246" s="1">
        <f>IF(ISNA(VLOOKUP(B246,'Leghe Fantacalcio'!A:I,2,FALSE)),"",VLOOKUP(B246,'Leghe Fantacalcio'!A:I,2,FALSE))</f>
        <v>5562</v>
      </c>
      <c r="N246" s="1">
        <f t="shared" si="14"/>
        <v>5562</v>
      </c>
      <c r="O246" s="1">
        <f>IFERROR(VLOOKUP(N246,'Leghe Fantacalcio'!B:I,8,FALSE),0)</f>
        <v>15</v>
      </c>
      <c r="P246" s="1" t="str">
        <f t="shared" si="15"/>
        <v>update giocatori set fvm = 15 where id = 1070081;</v>
      </c>
    </row>
    <row r="247" spans="1:16" x14ac:dyDescent="0.25">
      <c r="A247" s="1" t="str">
        <f t="shared" si="12"/>
        <v>VicarioJuventus</v>
      </c>
      <c r="B247" s="1" t="str">
        <f t="shared" si="13"/>
        <v>Vicario G.Juventus</v>
      </c>
      <c r="C247" s="1">
        <v>1045335</v>
      </c>
      <c r="D247" s="1" t="s">
        <v>13</v>
      </c>
      <c r="E247" s="1" t="s">
        <v>575</v>
      </c>
      <c r="F247" s="1" t="s">
        <v>14</v>
      </c>
      <c r="G247" s="1" t="s">
        <v>8</v>
      </c>
      <c r="H247" s="1">
        <v>6</v>
      </c>
      <c r="I247" s="1">
        <v>17</v>
      </c>
      <c r="J247" s="1" t="str">
        <f>VLOOKUP(A247,'Leghe Fantacalcio'!A:I,1,FALSE)</f>
        <v>VicarioJuventus</v>
      </c>
      <c r="K247" s="1" t="e">
        <f>VLOOKUP(B247,'Leghe Fantacalcio'!A:I,1,FALSE)</f>
        <v>#N/A</v>
      </c>
      <c r="L247" s="1">
        <f>IF(ISNA(VLOOKUP(A247,'Leghe Fantacalcio'!A:I,2,FALSE)),"",VLOOKUP(A247,'Leghe Fantacalcio'!A:I,2,FALSE))</f>
        <v>4964</v>
      </c>
      <c r="M247" s="1" t="str">
        <f>IF(ISNA(VLOOKUP(B247,'Leghe Fantacalcio'!A:I,2,FALSE)),"",VLOOKUP(B247,'Leghe Fantacalcio'!A:I,2,FALSE))</f>
        <v/>
      </c>
      <c r="N247" s="1">
        <f t="shared" si="14"/>
        <v>4964</v>
      </c>
      <c r="O247" s="1">
        <f>IFERROR(VLOOKUP(N247,'Leghe Fantacalcio'!B:I,8,FALSE),0)</f>
        <v>65</v>
      </c>
      <c r="P247" s="1" t="str">
        <f t="shared" si="15"/>
        <v>update giocatori set fvm = 65 where id = 1045335;</v>
      </c>
    </row>
    <row r="248" spans="1:16" x14ac:dyDescent="0.25">
      <c r="A248" s="1" t="str">
        <f t="shared" si="12"/>
        <v>WoltemadeJuventus</v>
      </c>
      <c r="B248" s="1" t="str">
        <f t="shared" si="13"/>
        <v>Woltemade N.Juventus</v>
      </c>
      <c r="C248" s="1">
        <v>1095108</v>
      </c>
      <c r="D248" s="1" t="s">
        <v>487</v>
      </c>
      <c r="E248" s="1" t="s">
        <v>578</v>
      </c>
      <c r="F248" s="1" t="s">
        <v>14</v>
      </c>
      <c r="G248" s="1" t="s">
        <v>478</v>
      </c>
      <c r="H248" s="1">
        <v>6</v>
      </c>
      <c r="I248" s="1">
        <v>56</v>
      </c>
      <c r="J248" s="1" t="str">
        <f>VLOOKUP(A248,'Leghe Fantacalcio'!A:I,1,FALSE)</f>
        <v>WoltemadeJuventus</v>
      </c>
      <c r="K248" s="1" t="e">
        <f>VLOOKUP(B248,'Leghe Fantacalcio'!A:I,1,FALSE)</f>
        <v>#N/A</v>
      </c>
      <c r="L248" s="1">
        <f>IF(ISNA(VLOOKUP(A248,'Leghe Fantacalcio'!A:I,2,FALSE)),"",VLOOKUP(A248,'Leghe Fantacalcio'!A:I,2,FALSE))</f>
        <v>6752</v>
      </c>
      <c r="M248" s="1" t="str">
        <f>IF(ISNA(VLOOKUP(B248,'Leghe Fantacalcio'!A:I,2,FALSE)),"",VLOOKUP(B248,'Leghe Fantacalcio'!A:I,2,FALSE))</f>
        <v/>
      </c>
      <c r="N248" s="1">
        <f t="shared" si="14"/>
        <v>6752</v>
      </c>
      <c r="O248" s="1">
        <f>IFERROR(VLOOKUP(N248,'Leghe Fantacalcio'!B:I,8,FALSE),0)</f>
        <v>97</v>
      </c>
      <c r="P248" s="1" t="str">
        <f t="shared" si="15"/>
        <v>update giocatori set fvm = 97 where id = 1095108;</v>
      </c>
    </row>
    <row r="249" spans="1:16" x14ac:dyDescent="0.25">
      <c r="A249" s="1" t="str">
        <f t="shared" si="12"/>
        <v>YildizJuventus</v>
      </c>
      <c r="B249" s="1" t="str">
        <f t="shared" si="13"/>
        <v>Yildiz K.Juventus</v>
      </c>
      <c r="C249" s="1">
        <v>1118054</v>
      </c>
      <c r="D249" s="1" t="s">
        <v>488</v>
      </c>
      <c r="E249" s="1" t="s">
        <v>586</v>
      </c>
      <c r="F249" s="1" t="s">
        <v>14</v>
      </c>
      <c r="G249" s="1" t="s">
        <v>478</v>
      </c>
      <c r="H249" s="1">
        <v>6</v>
      </c>
      <c r="I249" s="1">
        <v>40</v>
      </c>
      <c r="J249" s="1" t="str">
        <f>VLOOKUP(A249,'Leghe Fantacalcio'!A:I,1,FALSE)</f>
        <v>YildizJuventus</v>
      </c>
      <c r="K249" s="1" t="e">
        <f>VLOOKUP(B249,'Leghe Fantacalcio'!A:I,1,FALSE)</f>
        <v>#N/A</v>
      </c>
      <c r="L249" s="1">
        <f>IF(ISNA(VLOOKUP(A249,'Leghe Fantacalcio'!A:I,2,FALSE)),"",VLOOKUP(A249,'Leghe Fantacalcio'!A:I,2,FALSE))</f>
        <v>6434</v>
      </c>
      <c r="M249" s="1" t="str">
        <f>IF(ISNA(VLOOKUP(B249,'Leghe Fantacalcio'!A:I,2,FALSE)),"",VLOOKUP(B249,'Leghe Fantacalcio'!A:I,2,FALSE))</f>
        <v/>
      </c>
      <c r="N249" s="1">
        <f t="shared" si="14"/>
        <v>6434</v>
      </c>
      <c r="O249" s="1">
        <f>IFERROR(VLOOKUP(N249,'Leghe Fantacalcio'!B:I,8,FALSE),0)</f>
        <v>70</v>
      </c>
      <c r="P249" s="1" t="str">
        <f t="shared" si="15"/>
        <v>update giocatori set fvm = 70 where id = 1118054;</v>
      </c>
    </row>
    <row r="250" spans="1:16" x14ac:dyDescent="0.25">
      <c r="A250" s="1" t="str">
        <f t="shared" si="12"/>
        <v>ZhegrovaJuventus</v>
      </c>
      <c r="B250" s="1" t="str">
        <f t="shared" si="13"/>
        <v>Zhegrova E.Juventus</v>
      </c>
      <c r="C250" s="1">
        <v>1096934</v>
      </c>
      <c r="D250" s="1" t="s">
        <v>332</v>
      </c>
      <c r="E250" s="1" t="s">
        <v>573</v>
      </c>
      <c r="F250" s="1" t="s">
        <v>14</v>
      </c>
      <c r="G250" s="1" t="s">
        <v>283</v>
      </c>
      <c r="H250" s="1">
        <v>6</v>
      </c>
      <c r="I250" s="1">
        <v>23</v>
      </c>
      <c r="J250" s="1" t="str">
        <f>VLOOKUP(A250,'Leghe Fantacalcio'!A:I,1,FALSE)</f>
        <v>ZhegrovaJuventus</v>
      </c>
      <c r="K250" s="1" t="e">
        <f>VLOOKUP(B250,'Leghe Fantacalcio'!A:I,1,FALSE)</f>
        <v>#N/A</v>
      </c>
      <c r="L250" s="1">
        <f>IF(ISNA(VLOOKUP(A250,'Leghe Fantacalcio'!A:I,2,FALSE)),"",VLOOKUP(A250,'Leghe Fantacalcio'!A:I,2,FALSE))</f>
        <v>5761</v>
      </c>
      <c r="M250" s="1" t="str">
        <f>IF(ISNA(VLOOKUP(B250,'Leghe Fantacalcio'!A:I,2,FALSE)),"",VLOOKUP(B250,'Leghe Fantacalcio'!A:I,2,FALSE))</f>
        <v/>
      </c>
      <c r="N250" s="1">
        <f t="shared" si="14"/>
        <v>5761</v>
      </c>
      <c r="O250" s="1">
        <f>IFERROR(VLOOKUP(N250,'Leghe Fantacalcio'!B:I,8,FALSE),0)</f>
        <v>22</v>
      </c>
      <c r="P250" s="1" t="str">
        <f t="shared" si="15"/>
        <v>update giocatori set fvm = 22 where id = 1096934;</v>
      </c>
    </row>
    <row r="251" spans="1:16" ht="14.5" x14ac:dyDescent="0.35">
      <c r="A251" s="1" t="str">
        <f t="shared" si="12"/>
        <v>PedrazaLazio</v>
      </c>
      <c r="B251" s="1" t="str">
        <f t="shared" si="13"/>
        <v>Pedraza Lazio</v>
      </c>
      <c r="C251" s="1">
        <v>1050622</v>
      </c>
      <c r="D251" t="s">
        <v>189</v>
      </c>
      <c r="E251" s="1" t="s">
        <v>579</v>
      </c>
      <c r="F251" s="1" t="s">
        <v>24</v>
      </c>
      <c r="G251" s="1" t="s">
        <v>92</v>
      </c>
      <c r="H251" s="1">
        <v>6</v>
      </c>
      <c r="I251" s="1">
        <v>10</v>
      </c>
      <c r="J251" s="1" t="str">
        <f>VLOOKUP(A251,'Leghe Fantacalcio'!A:I,1,FALSE)</f>
        <v>PedrazaLazio</v>
      </c>
      <c r="K251" s="1" t="e">
        <f>VLOOKUP(B251,'Leghe Fantacalcio'!A:I,1,FALSE)</f>
        <v>#N/A</v>
      </c>
      <c r="L251" s="1">
        <f>IF(ISNA(VLOOKUP(A251,'Leghe Fantacalcio'!A:I,2,FALSE)),"",VLOOKUP(A251,'Leghe Fantacalcio'!A:I,2,FALSE))</f>
        <v>4817</v>
      </c>
      <c r="M251" s="1" t="str">
        <f>IF(ISNA(VLOOKUP(B251,'Leghe Fantacalcio'!A:I,2,FALSE)),"",VLOOKUP(B251,'Leghe Fantacalcio'!A:I,2,FALSE))</f>
        <v/>
      </c>
      <c r="N251" s="1">
        <f t="shared" si="14"/>
        <v>4817</v>
      </c>
      <c r="O251" s="1">
        <f>IFERROR(VLOOKUP(N251,'Leghe Fantacalcio'!B:I,8,FALSE),0)</f>
        <v>11</v>
      </c>
      <c r="P251" s="1" t="str">
        <f t="shared" si="15"/>
        <v>update giocatori set fvm = 11 where id = 1050622;</v>
      </c>
    </row>
    <row r="252" spans="1:16" x14ac:dyDescent="0.25">
      <c r="A252" s="1" t="str">
        <f t="shared" si="12"/>
        <v>BelahyaneLazio</v>
      </c>
      <c r="B252" s="1" t="str">
        <f t="shared" si="13"/>
        <v>Belahyane R.Lazio</v>
      </c>
      <c r="C252" s="1">
        <v>1115389</v>
      </c>
      <c r="D252" s="1" t="s">
        <v>402</v>
      </c>
      <c r="E252" s="1" t="s">
        <v>581</v>
      </c>
      <c r="F252" s="1" t="s">
        <v>24</v>
      </c>
      <c r="G252" s="1" t="s">
        <v>283</v>
      </c>
      <c r="H252" s="1">
        <v>6</v>
      </c>
      <c r="I252" s="1">
        <v>13</v>
      </c>
      <c r="J252" s="1" t="str">
        <f>VLOOKUP(A252,'Leghe Fantacalcio'!A:I,1,FALSE)</f>
        <v>BelahyaneLazio</v>
      </c>
      <c r="K252" s="1" t="e">
        <f>VLOOKUP(B252,'Leghe Fantacalcio'!A:I,1,FALSE)</f>
        <v>#N/A</v>
      </c>
      <c r="L252" s="1">
        <f>IF(ISNA(VLOOKUP(A252,'Leghe Fantacalcio'!A:I,2,FALSE)),"",VLOOKUP(A252,'Leghe Fantacalcio'!A:I,2,FALSE))</f>
        <v>6191</v>
      </c>
      <c r="M252" s="1" t="str">
        <f>IF(ISNA(VLOOKUP(B252,'Leghe Fantacalcio'!A:I,2,FALSE)),"",VLOOKUP(B252,'Leghe Fantacalcio'!A:I,2,FALSE))</f>
        <v/>
      </c>
      <c r="N252" s="1">
        <f t="shared" si="14"/>
        <v>6191</v>
      </c>
      <c r="O252" s="1">
        <f>IFERROR(VLOOKUP(N252,'Leghe Fantacalcio'!B:I,8,FALSE),0)</f>
        <v>3</v>
      </c>
      <c r="P252" s="1" t="str">
        <f t="shared" si="15"/>
        <v>update giocatori set fvm = 3 where id = 1115389;</v>
      </c>
    </row>
    <row r="253" spans="1:16" x14ac:dyDescent="0.25">
      <c r="A253" s="1" t="str">
        <f t="shared" si="12"/>
        <v>Bruno GalassiLazio</v>
      </c>
      <c r="B253" s="1" t="str">
        <f t="shared" si="13"/>
        <v>Bruno Galassi Lazio</v>
      </c>
      <c r="C253" s="1">
        <v>1120449</v>
      </c>
      <c r="D253" s="1" t="s">
        <v>608</v>
      </c>
      <c r="E253" s="1" t="s">
        <v>579</v>
      </c>
      <c r="F253" s="1" t="s">
        <v>24</v>
      </c>
      <c r="G253" s="1" t="s">
        <v>92</v>
      </c>
      <c r="H253" s="1">
        <v>6</v>
      </c>
      <c r="I253" s="1">
        <v>1</v>
      </c>
      <c r="J253" s="1" t="e">
        <f>VLOOKUP(A253,'Leghe Fantacalcio'!A:I,1,FALSE)</f>
        <v>#N/A</v>
      </c>
      <c r="K253" s="1" t="e">
        <f>VLOOKUP(B253,'Leghe Fantacalcio'!A:I,1,FALSE)</f>
        <v>#N/A</v>
      </c>
      <c r="L253" s="1" t="str">
        <f>IF(ISNA(VLOOKUP(A253,'Leghe Fantacalcio'!A:I,2,FALSE)),"",VLOOKUP(A253,'Leghe Fantacalcio'!A:I,2,FALSE))</f>
        <v/>
      </c>
      <c r="M253" s="1" t="str">
        <f>IF(ISNA(VLOOKUP(B253,'Leghe Fantacalcio'!A:I,2,FALSE)),"",VLOOKUP(B253,'Leghe Fantacalcio'!A:I,2,FALSE))</f>
        <v/>
      </c>
      <c r="N253" s="1" t="str">
        <f t="shared" si="14"/>
        <v/>
      </c>
      <c r="O253" s="1">
        <f>IFERROR(VLOOKUP(N253,'Leghe Fantacalcio'!B:I,8,FALSE),0)</f>
        <v>0</v>
      </c>
      <c r="P253" s="1" t="str">
        <f t="shared" si="15"/>
        <v>update giocatori set fvm = 0 where id = 1120449;</v>
      </c>
    </row>
    <row r="254" spans="1:16" x14ac:dyDescent="0.25">
      <c r="A254" s="1" t="str">
        <f t="shared" si="12"/>
        <v>CancellieriLazio</v>
      </c>
      <c r="B254" s="1" t="str">
        <f t="shared" si="13"/>
        <v>Cancellieri M.Lazio</v>
      </c>
      <c r="C254" s="1">
        <v>1102766</v>
      </c>
      <c r="D254" s="1" t="s">
        <v>320</v>
      </c>
      <c r="E254" s="1" t="s">
        <v>572</v>
      </c>
      <c r="F254" s="1" t="s">
        <v>24</v>
      </c>
      <c r="G254" s="1" t="s">
        <v>478</v>
      </c>
      <c r="H254" s="1">
        <v>6</v>
      </c>
      <c r="I254" s="1">
        <v>17</v>
      </c>
      <c r="J254" s="1" t="str">
        <f>VLOOKUP(A254,'Leghe Fantacalcio'!A:I,1,FALSE)</f>
        <v>CancellieriLazio</v>
      </c>
      <c r="K254" s="1" t="e">
        <f>VLOOKUP(B254,'Leghe Fantacalcio'!A:I,1,FALSE)</f>
        <v>#N/A</v>
      </c>
      <c r="L254" s="1">
        <f>IF(ISNA(VLOOKUP(A254,'Leghe Fantacalcio'!A:I,2,FALSE)),"",VLOOKUP(A254,'Leghe Fantacalcio'!A:I,2,FALSE))</f>
        <v>5500</v>
      </c>
      <c r="M254" s="1" t="str">
        <f>IF(ISNA(VLOOKUP(B254,'Leghe Fantacalcio'!A:I,2,FALSE)),"",VLOOKUP(B254,'Leghe Fantacalcio'!A:I,2,FALSE))</f>
        <v/>
      </c>
      <c r="N254" s="1">
        <f t="shared" si="14"/>
        <v>5500</v>
      </c>
      <c r="O254" s="1">
        <f>IFERROR(VLOOKUP(N254,'Leghe Fantacalcio'!B:I,8,FALSE),0)</f>
        <v>22</v>
      </c>
      <c r="P254" s="1" t="str">
        <f t="shared" si="15"/>
        <v>update giocatori set fvm = 22 where id = 1102766;</v>
      </c>
    </row>
    <row r="255" spans="1:16" x14ac:dyDescent="0.25">
      <c r="A255" s="1" t="str">
        <f t="shared" si="12"/>
        <v>CataldiLazio</v>
      </c>
      <c r="B255" s="1" t="str">
        <f t="shared" si="13"/>
        <v>Cataldi D.Lazio</v>
      </c>
      <c r="C255" s="1">
        <v>1040044</v>
      </c>
      <c r="D255" s="1" t="s">
        <v>437</v>
      </c>
      <c r="E255" s="1" t="s">
        <v>593</v>
      </c>
      <c r="F255" s="1" t="s">
        <v>24</v>
      </c>
      <c r="G255" s="1" t="s">
        <v>283</v>
      </c>
      <c r="H255" s="1">
        <v>6</v>
      </c>
      <c r="I255" s="1">
        <v>14</v>
      </c>
      <c r="J255" s="1" t="str">
        <f>VLOOKUP(A255,'Leghe Fantacalcio'!A:I,1,FALSE)</f>
        <v>CataldiLazio</v>
      </c>
      <c r="K255" s="1" t="e">
        <f>VLOOKUP(B255,'Leghe Fantacalcio'!A:I,1,FALSE)</f>
        <v>#N/A</v>
      </c>
      <c r="L255" s="1">
        <f>IF(ISNA(VLOOKUP(A255,'Leghe Fantacalcio'!A:I,2,FALSE)),"",VLOOKUP(A255,'Leghe Fantacalcio'!A:I,2,FALSE))</f>
        <v>333</v>
      </c>
      <c r="M255" s="1" t="str">
        <f>IF(ISNA(VLOOKUP(B255,'Leghe Fantacalcio'!A:I,2,FALSE)),"",VLOOKUP(B255,'Leghe Fantacalcio'!A:I,2,FALSE))</f>
        <v/>
      </c>
      <c r="N255" s="1">
        <f t="shared" si="14"/>
        <v>333</v>
      </c>
      <c r="O255" s="1">
        <f>IFERROR(VLOOKUP(N255,'Leghe Fantacalcio'!B:I,8,FALSE),0)</f>
        <v>8</v>
      </c>
      <c r="P255" s="1" t="str">
        <f t="shared" si="15"/>
        <v>update giocatori set fvm = 8 where id = 1040044;</v>
      </c>
    </row>
    <row r="256" spans="1:16" x14ac:dyDescent="0.25">
      <c r="A256" s="1" t="str">
        <f t="shared" si="12"/>
        <v>Dele-BashiruLazio</v>
      </c>
      <c r="B256" s="1" t="str">
        <f t="shared" si="13"/>
        <v>Dele-Bashiru F.Lazio</v>
      </c>
      <c r="C256" s="1">
        <v>1119716</v>
      </c>
      <c r="D256" s="1" t="s">
        <v>420</v>
      </c>
      <c r="E256" s="1" t="s">
        <v>589</v>
      </c>
      <c r="F256" s="1" t="s">
        <v>24</v>
      </c>
      <c r="G256" s="1" t="s">
        <v>283</v>
      </c>
      <c r="H256" s="1">
        <v>6</v>
      </c>
      <c r="I256" s="1">
        <v>13</v>
      </c>
      <c r="J256" s="1" t="str">
        <f>VLOOKUP(A256,'Leghe Fantacalcio'!A:I,1,FALSE)</f>
        <v>Dele-BashiruLazio</v>
      </c>
      <c r="K256" s="1" t="e">
        <f>VLOOKUP(B256,'Leghe Fantacalcio'!A:I,1,FALSE)</f>
        <v>#N/A</v>
      </c>
      <c r="L256" s="1">
        <f>IF(ISNA(VLOOKUP(A256,'Leghe Fantacalcio'!A:I,2,FALSE)),"",VLOOKUP(A256,'Leghe Fantacalcio'!A:I,2,FALSE))</f>
        <v>6629</v>
      </c>
      <c r="M256" s="1" t="str">
        <f>IF(ISNA(VLOOKUP(B256,'Leghe Fantacalcio'!A:I,2,FALSE)),"",VLOOKUP(B256,'Leghe Fantacalcio'!A:I,2,FALSE))</f>
        <v/>
      </c>
      <c r="N256" s="1">
        <f t="shared" si="14"/>
        <v>6629</v>
      </c>
      <c r="O256" s="1">
        <f>IFERROR(VLOOKUP(N256,'Leghe Fantacalcio'!B:I,8,FALSE),0)</f>
        <v>7</v>
      </c>
      <c r="P256" s="1" t="str">
        <f t="shared" si="15"/>
        <v>update giocatori set fvm = 7 where id = 1119716;</v>
      </c>
    </row>
    <row r="257" spans="1:16" x14ac:dyDescent="0.25">
      <c r="A257" s="1" t="str">
        <f t="shared" si="12"/>
        <v>DoekhiLazio</v>
      </c>
      <c r="B257" s="1" t="str">
        <f t="shared" si="13"/>
        <v>Doekhi D.Lazio</v>
      </c>
      <c r="C257" s="1">
        <v>1113511</v>
      </c>
      <c r="D257" s="1" t="s">
        <v>136</v>
      </c>
      <c r="E257" s="1" t="s">
        <v>593</v>
      </c>
      <c r="F257" s="1" t="s">
        <v>24</v>
      </c>
      <c r="G257" s="1" t="s">
        <v>92</v>
      </c>
      <c r="H257" s="1">
        <v>6</v>
      </c>
      <c r="I257" s="1">
        <v>11</v>
      </c>
      <c r="J257" s="1" t="str">
        <f>VLOOKUP(A257,'Leghe Fantacalcio'!A:I,1,FALSE)</f>
        <v>DoekhiLazio</v>
      </c>
      <c r="K257" s="1" t="e">
        <f>VLOOKUP(B257,'Leghe Fantacalcio'!A:I,1,FALSE)</f>
        <v>#N/A</v>
      </c>
      <c r="L257" s="1">
        <f>IF(ISNA(VLOOKUP(A257,'Leghe Fantacalcio'!A:I,2,FALSE)),"",VLOOKUP(A257,'Leghe Fantacalcio'!A:I,2,FALSE))</f>
        <v>6320</v>
      </c>
      <c r="M257" s="1" t="str">
        <f>IF(ISNA(VLOOKUP(B257,'Leghe Fantacalcio'!A:I,2,FALSE)),"",VLOOKUP(B257,'Leghe Fantacalcio'!A:I,2,FALSE))</f>
        <v/>
      </c>
      <c r="N257" s="1">
        <f t="shared" si="14"/>
        <v>6320</v>
      </c>
      <c r="O257" s="1">
        <f>IFERROR(VLOOKUP(N257,'Leghe Fantacalcio'!B:I,8,FALSE),0)</f>
        <v>13</v>
      </c>
      <c r="P257" s="1" t="str">
        <f t="shared" si="15"/>
        <v>update giocatori set fvm = 13 where id = 1113511;</v>
      </c>
    </row>
    <row r="258" spans="1:16" x14ac:dyDescent="0.25">
      <c r="A258" s="1" t="str">
        <f t="shared" ref="A258:A321" si="16">CONCATENATE(D258,F258)</f>
        <v>FarcomeniLazio</v>
      </c>
      <c r="B258" s="1" t="str">
        <f t="shared" si="13"/>
        <v>Farcomeni V.Lazio</v>
      </c>
      <c r="C258" s="1">
        <v>1120169</v>
      </c>
      <c r="D258" s="1" t="s">
        <v>642</v>
      </c>
      <c r="E258" s="1" t="s">
        <v>595</v>
      </c>
      <c r="F258" s="1" t="s">
        <v>24</v>
      </c>
      <c r="G258" s="1" t="s">
        <v>283</v>
      </c>
      <c r="H258" s="1">
        <v>6</v>
      </c>
      <c r="I258" s="1">
        <v>1</v>
      </c>
      <c r="J258" s="1" t="e">
        <f>VLOOKUP(A258,'Leghe Fantacalcio'!A:I,1,FALSE)</f>
        <v>#N/A</v>
      </c>
      <c r="K258" s="1" t="e">
        <f>VLOOKUP(B258,'Leghe Fantacalcio'!A:I,1,FALSE)</f>
        <v>#N/A</v>
      </c>
      <c r="L258" s="1" t="str">
        <f>IF(ISNA(VLOOKUP(A258,'Leghe Fantacalcio'!A:I,2,FALSE)),"",VLOOKUP(A258,'Leghe Fantacalcio'!A:I,2,FALSE))</f>
        <v/>
      </c>
      <c r="M258" s="1" t="str">
        <f>IF(ISNA(VLOOKUP(B258,'Leghe Fantacalcio'!A:I,2,FALSE)),"",VLOOKUP(B258,'Leghe Fantacalcio'!A:I,2,FALSE))</f>
        <v/>
      </c>
      <c r="N258" s="1" t="str">
        <f t="shared" si="14"/>
        <v/>
      </c>
      <c r="O258" s="1">
        <f>IFERROR(VLOOKUP(N258,'Leghe Fantacalcio'!B:I,8,FALSE),0)</f>
        <v>0</v>
      </c>
      <c r="P258" s="1" t="str">
        <f t="shared" si="15"/>
        <v>update giocatori set fvm = 0 where id = 1120169;</v>
      </c>
    </row>
    <row r="259" spans="1:16" x14ac:dyDescent="0.25">
      <c r="A259" s="1" t="str">
        <f t="shared" si="16"/>
        <v>Floriani MussoliniLazio</v>
      </c>
      <c r="B259" s="1" t="str">
        <f t="shared" ref="B259:B322" si="17">CONCATENATE(D259," ",E259,F259)</f>
        <v>Floriani Mussolini R.Lazio</v>
      </c>
      <c r="C259" s="1">
        <v>1111607</v>
      </c>
      <c r="D259" s="1" t="s">
        <v>228</v>
      </c>
      <c r="E259" s="1" t="s">
        <v>581</v>
      </c>
      <c r="F259" s="1" t="s">
        <v>24</v>
      </c>
      <c r="G259" s="1" t="s">
        <v>92</v>
      </c>
      <c r="H259" s="1">
        <v>6</v>
      </c>
      <c r="I259" s="1">
        <v>6</v>
      </c>
      <c r="J259" s="1" t="str">
        <f>VLOOKUP(A259,'Leghe Fantacalcio'!A:I,1,FALSE)</f>
        <v>Floriani MussoliniLazio</v>
      </c>
      <c r="K259" s="1" t="e">
        <f>VLOOKUP(B259,'Leghe Fantacalcio'!A:I,1,FALSE)</f>
        <v>#N/A</v>
      </c>
      <c r="L259" s="1">
        <f>IF(ISNA(VLOOKUP(A259,'Leghe Fantacalcio'!A:I,2,FALSE)),"",VLOOKUP(A259,'Leghe Fantacalcio'!A:I,2,FALSE))</f>
        <v>7131</v>
      </c>
      <c r="M259" s="1" t="str">
        <f>IF(ISNA(VLOOKUP(B259,'Leghe Fantacalcio'!A:I,2,FALSE)),"",VLOOKUP(B259,'Leghe Fantacalcio'!A:I,2,FALSE))</f>
        <v/>
      </c>
      <c r="N259" s="1">
        <f t="shared" ref="N259:N322" si="18">IFERROR(VALUE(CONCATENATE(L259,M259)),"")</f>
        <v>7131</v>
      </c>
      <c r="O259" s="1">
        <f>IFERROR(VLOOKUP(N259,'Leghe Fantacalcio'!B:I,8,FALSE),0)</f>
        <v>11</v>
      </c>
      <c r="P259" s="1" t="str">
        <f t="shared" ref="P259:P322" si="19">CONCATENATE("update giocatori set fvm = ",O259," where id = ",C259,";")</f>
        <v>update giocatori set fvm = 11 where id = 1111607;</v>
      </c>
    </row>
    <row r="260" spans="1:16" x14ac:dyDescent="0.25">
      <c r="A260" s="1" t="str">
        <f t="shared" si="16"/>
        <v>FrattesiLazio</v>
      </c>
      <c r="B260" s="1" t="str">
        <f t="shared" si="17"/>
        <v>Frattesi D.Lazio</v>
      </c>
      <c r="C260" s="1">
        <v>1061532</v>
      </c>
      <c r="D260" s="1" t="s">
        <v>312</v>
      </c>
      <c r="E260" s="1" t="s">
        <v>593</v>
      </c>
      <c r="F260" s="1" t="s">
        <v>24</v>
      </c>
      <c r="G260" s="1" t="s">
        <v>283</v>
      </c>
      <c r="H260" s="1">
        <v>6</v>
      </c>
      <c r="I260" s="1">
        <v>26</v>
      </c>
      <c r="J260" s="1" t="str">
        <f>VLOOKUP(A260,'Leghe Fantacalcio'!A:I,1,FALSE)</f>
        <v>FrattesiLazio</v>
      </c>
      <c r="K260" s="1" t="e">
        <f>VLOOKUP(B260,'Leghe Fantacalcio'!A:I,1,FALSE)</f>
        <v>#N/A</v>
      </c>
      <c r="L260" s="1">
        <f>IF(ISNA(VLOOKUP(A260,'Leghe Fantacalcio'!A:I,2,FALSE)),"",VLOOKUP(A260,'Leghe Fantacalcio'!A:I,2,FALSE))</f>
        <v>2848</v>
      </c>
      <c r="M260" s="1" t="str">
        <f>IF(ISNA(VLOOKUP(B260,'Leghe Fantacalcio'!A:I,2,FALSE)),"",VLOOKUP(B260,'Leghe Fantacalcio'!A:I,2,FALSE))</f>
        <v/>
      </c>
      <c r="N260" s="1">
        <f t="shared" si="18"/>
        <v>2848</v>
      </c>
      <c r="O260" s="1">
        <f>IFERROR(VLOOKUP(N260,'Leghe Fantacalcio'!B:I,8,FALSE),0)</f>
        <v>113</v>
      </c>
      <c r="P260" s="1" t="str">
        <f t="shared" si="19"/>
        <v>update giocatori set fvm = 113 where id = 1061532;</v>
      </c>
    </row>
    <row r="261" spans="1:16" x14ac:dyDescent="0.25">
      <c r="A261" s="1" t="str">
        <f t="shared" si="16"/>
        <v>FurlanettoLazio</v>
      </c>
      <c r="B261" s="1" t="str">
        <f t="shared" si="17"/>
        <v>Furlanetto A.Lazio</v>
      </c>
      <c r="C261" s="1">
        <v>1102807</v>
      </c>
      <c r="D261" s="1" t="s">
        <v>583</v>
      </c>
      <c r="E261" s="1" t="s">
        <v>584</v>
      </c>
      <c r="F261" s="1" t="s">
        <v>24</v>
      </c>
      <c r="G261" s="1" t="s">
        <v>8</v>
      </c>
      <c r="H261" s="1">
        <v>6</v>
      </c>
      <c r="I261" s="1">
        <v>1</v>
      </c>
      <c r="J261" s="1" t="e">
        <f>VLOOKUP(A261,'Leghe Fantacalcio'!A:I,1,FALSE)</f>
        <v>#N/A</v>
      </c>
      <c r="K261" s="1" t="e">
        <f>VLOOKUP(B261,'Leghe Fantacalcio'!A:I,1,FALSE)</f>
        <v>#N/A</v>
      </c>
      <c r="L261" s="1" t="str">
        <f>IF(ISNA(VLOOKUP(A261,'Leghe Fantacalcio'!A:I,2,FALSE)),"",VLOOKUP(A261,'Leghe Fantacalcio'!A:I,2,FALSE))</f>
        <v/>
      </c>
      <c r="M261" s="1" t="str">
        <f>IF(ISNA(VLOOKUP(B261,'Leghe Fantacalcio'!A:I,2,FALSE)),"",VLOOKUP(B261,'Leghe Fantacalcio'!A:I,2,FALSE))</f>
        <v/>
      </c>
      <c r="N261" s="1" t="str">
        <f t="shared" si="18"/>
        <v/>
      </c>
      <c r="O261" s="1">
        <f>IFERROR(VLOOKUP(N261,'Leghe Fantacalcio'!B:I,8,FALSE),0)</f>
        <v>0</v>
      </c>
      <c r="P261" s="1" t="str">
        <f t="shared" si="19"/>
        <v>update giocatori set fvm = 0 where id = 1102807;</v>
      </c>
    </row>
    <row r="262" spans="1:16" x14ac:dyDescent="0.25">
      <c r="A262" s="1" t="str">
        <f t="shared" si="16"/>
        <v>GudmundssonLazio</v>
      </c>
      <c r="B262" s="1" t="str">
        <f t="shared" si="17"/>
        <v>Gudmundsson A.Lazio</v>
      </c>
      <c r="C262" s="1">
        <v>1061700</v>
      </c>
      <c r="D262" s="1" t="s">
        <v>646</v>
      </c>
      <c r="E262" s="1" t="s">
        <v>584</v>
      </c>
      <c r="F262" s="1" t="s">
        <v>24</v>
      </c>
      <c r="G262" s="1" t="s">
        <v>283</v>
      </c>
      <c r="H262" s="1">
        <v>6</v>
      </c>
      <c r="I262" s="1">
        <v>31</v>
      </c>
      <c r="J262" s="1" t="e">
        <f>VLOOKUP(A262,'Leghe Fantacalcio'!A:I,1,FALSE)</f>
        <v>#N/A</v>
      </c>
      <c r="K262" s="1" t="str">
        <f>VLOOKUP(B262,'Leghe Fantacalcio'!A:I,1,FALSE)</f>
        <v>Gudmundsson A.Lazio</v>
      </c>
      <c r="L262" s="1" t="str">
        <f>IF(ISNA(VLOOKUP(A262,'Leghe Fantacalcio'!A:I,2,FALSE)),"",VLOOKUP(A262,'Leghe Fantacalcio'!A:I,2,FALSE))</f>
        <v/>
      </c>
      <c r="M262" s="1">
        <f>IF(ISNA(VLOOKUP(B262,'Leghe Fantacalcio'!A:I,2,FALSE)),"",VLOOKUP(B262,'Leghe Fantacalcio'!A:I,2,FALSE))</f>
        <v>5800</v>
      </c>
      <c r="N262" s="1">
        <f t="shared" si="18"/>
        <v>5800</v>
      </c>
      <c r="O262" s="1">
        <f>IFERROR(VLOOKUP(N262,'Leghe Fantacalcio'!B:I,8,FALSE),0)</f>
        <v>38</v>
      </c>
      <c r="P262" s="1" t="str">
        <f t="shared" si="19"/>
        <v>update giocatori set fvm = 38 where id = 1061700;</v>
      </c>
    </row>
    <row r="263" spans="1:16" x14ac:dyDescent="0.25">
      <c r="A263" s="1" t="str">
        <f t="shared" si="16"/>
        <v>IsaksenLazio</v>
      </c>
      <c r="B263" s="1" t="str">
        <f t="shared" si="17"/>
        <v>Isaksen G.Lazio</v>
      </c>
      <c r="C263" s="1">
        <v>1095684</v>
      </c>
      <c r="D263" s="1" t="s">
        <v>354</v>
      </c>
      <c r="E263" s="1" t="s">
        <v>575</v>
      </c>
      <c r="F263" s="1" t="s">
        <v>24</v>
      </c>
      <c r="G263" s="1" t="s">
        <v>478</v>
      </c>
      <c r="H263" s="1">
        <v>6</v>
      </c>
      <c r="I263" s="1">
        <v>21</v>
      </c>
      <c r="J263" s="1" t="str">
        <f>VLOOKUP(A263,'Leghe Fantacalcio'!A:I,1,FALSE)</f>
        <v>IsaksenLazio</v>
      </c>
      <c r="K263" s="1" t="e">
        <f>VLOOKUP(B263,'Leghe Fantacalcio'!A:I,1,FALSE)</f>
        <v>#N/A</v>
      </c>
      <c r="L263" s="1">
        <f>IF(ISNA(VLOOKUP(A263,'Leghe Fantacalcio'!A:I,2,FALSE)),"",VLOOKUP(A263,'Leghe Fantacalcio'!A:I,2,FALSE))</f>
        <v>6398</v>
      </c>
      <c r="M263" s="1" t="str">
        <f>IF(ISNA(VLOOKUP(B263,'Leghe Fantacalcio'!A:I,2,FALSE)),"",VLOOKUP(B263,'Leghe Fantacalcio'!A:I,2,FALSE))</f>
        <v/>
      </c>
      <c r="N263" s="1">
        <f t="shared" si="18"/>
        <v>6398</v>
      </c>
      <c r="O263" s="1">
        <f>IFERROR(VLOOKUP(N263,'Leghe Fantacalcio'!B:I,8,FALSE),0)</f>
        <v>21</v>
      </c>
      <c r="P263" s="1" t="str">
        <f t="shared" si="19"/>
        <v>update giocatori set fvm = 21 where id = 1095684;</v>
      </c>
    </row>
    <row r="264" spans="1:16" x14ac:dyDescent="0.25">
      <c r="A264" s="1" t="str">
        <f t="shared" si="16"/>
        <v>LazzariLazio</v>
      </c>
      <c r="B264" s="1" t="str">
        <f t="shared" si="17"/>
        <v>Lazzari M.Lazio</v>
      </c>
      <c r="C264" s="1">
        <v>1059671</v>
      </c>
      <c r="D264" s="1" t="s">
        <v>263</v>
      </c>
      <c r="E264" s="1" t="s">
        <v>572</v>
      </c>
      <c r="F264" s="1" t="s">
        <v>24</v>
      </c>
      <c r="G264" s="1" t="s">
        <v>92</v>
      </c>
      <c r="H264" s="1">
        <v>6</v>
      </c>
      <c r="I264" s="1">
        <v>6</v>
      </c>
      <c r="J264" s="1" t="str">
        <f>VLOOKUP(A264,'Leghe Fantacalcio'!A:I,1,FALSE)</f>
        <v>LazzariLazio</v>
      </c>
      <c r="K264" s="1" t="e">
        <f>VLOOKUP(B264,'Leghe Fantacalcio'!A:I,1,FALSE)</f>
        <v>#N/A</v>
      </c>
      <c r="L264" s="1">
        <f>IF(ISNA(VLOOKUP(A264,'Leghe Fantacalcio'!A:I,2,FALSE)),"",VLOOKUP(A264,'Leghe Fantacalcio'!A:I,2,FALSE))</f>
        <v>2263</v>
      </c>
      <c r="M264" s="1" t="str">
        <f>IF(ISNA(VLOOKUP(B264,'Leghe Fantacalcio'!A:I,2,FALSE)),"",VLOOKUP(B264,'Leghe Fantacalcio'!A:I,2,FALSE))</f>
        <v/>
      </c>
      <c r="N264" s="1">
        <f t="shared" si="18"/>
        <v>2263</v>
      </c>
      <c r="O264" s="1">
        <f>IFERROR(VLOOKUP(N264,'Leghe Fantacalcio'!B:I,8,FALSE),0)</f>
        <v>5</v>
      </c>
      <c r="P264" s="1" t="str">
        <f t="shared" si="19"/>
        <v>update giocatori set fvm = 5 where id = 1059671;</v>
      </c>
    </row>
    <row r="265" spans="1:16" x14ac:dyDescent="0.25">
      <c r="A265" s="1" t="str">
        <f t="shared" si="16"/>
        <v>MandasLazio</v>
      </c>
      <c r="B265" s="1" t="str">
        <f t="shared" si="17"/>
        <v>Mandas C.Lazio</v>
      </c>
      <c r="C265" s="1">
        <v>1118319</v>
      </c>
      <c r="D265" s="1" t="s">
        <v>23</v>
      </c>
      <c r="E265" s="1" t="s">
        <v>592</v>
      </c>
      <c r="F265" s="1" t="s">
        <v>24</v>
      </c>
      <c r="G265" s="1" t="s">
        <v>8</v>
      </c>
      <c r="H265" s="1">
        <v>6</v>
      </c>
      <c r="I265" s="1">
        <v>19</v>
      </c>
      <c r="J265" s="1" t="str">
        <f>VLOOKUP(A265,'Leghe Fantacalcio'!A:I,1,FALSE)</f>
        <v>MandasLazio</v>
      </c>
      <c r="K265" s="1" t="e">
        <f>VLOOKUP(B265,'Leghe Fantacalcio'!A:I,1,FALSE)</f>
        <v>#N/A</v>
      </c>
      <c r="L265" s="1">
        <f>IF(ISNA(VLOOKUP(A265,'Leghe Fantacalcio'!A:I,2,FALSE)),"",VLOOKUP(A265,'Leghe Fantacalcio'!A:I,2,FALSE))</f>
        <v>6482</v>
      </c>
      <c r="M265" s="1" t="str">
        <f>IF(ISNA(VLOOKUP(B265,'Leghe Fantacalcio'!A:I,2,FALSE)),"",VLOOKUP(B265,'Leghe Fantacalcio'!A:I,2,FALSE))</f>
        <v/>
      </c>
      <c r="N265" s="1">
        <f t="shared" si="18"/>
        <v>6482</v>
      </c>
      <c r="O265" s="1">
        <f>IFERROR(VLOOKUP(N265,'Leghe Fantacalcio'!B:I,8,FALSE),0)</f>
        <v>41</v>
      </c>
      <c r="P265" s="1" t="str">
        <f t="shared" si="19"/>
        <v>update giocatori set fvm = 41 where id = 1118319;</v>
      </c>
    </row>
    <row r="266" spans="1:16" x14ac:dyDescent="0.25">
      <c r="A266" s="1" t="str">
        <f t="shared" si="16"/>
        <v>MarusicLazio</v>
      </c>
      <c r="B266" s="1" t="str">
        <f t="shared" si="17"/>
        <v>Marusic A.Lazio</v>
      </c>
      <c r="C266" s="1">
        <v>1063096</v>
      </c>
      <c r="D266" s="1" t="s">
        <v>190</v>
      </c>
      <c r="E266" s="1" t="s">
        <v>584</v>
      </c>
      <c r="F266" s="1" t="s">
        <v>24</v>
      </c>
      <c r="G266" s="1" t="s">
        <v>92</v>
      </c>
      <c r="H266" s="1">
        <v>6</v>
      </c>
      <c r="I266" s="1">
        <v>9</v>
      </c>
      <c r="J266" s="1" t="str">
        <f>VLOOKUP(A266,'Leghe Fantacalcio'!A:I,1,FALSE)</f>
        <v>MarusicLazio</v>
      </c>
      <c r="K266" s="1" t="e">
        <f>VLOOKUP(B266,'Leghe Fantacalcio'!A:I,1,FALSE)</f>
        <v>#N/A</v>
      </c>
      <c r="L266" s="1">
        <f>IF(ISNA(VLOOKUP(A266,'Leghe Fantacalcio'!A:I,2,FALSE)),"",VLOOKUP(A266,'Leghe Fantacalcio'!A:I,2,FALSE))</f>
        <v>2188</v>
      </c>
      <c r="M266" s="1" t="str">
        <f>IF(ISNA(VLOOKUP(B266,'Leghe Fantacalcio'!A:I,2,FALSE)),"",VLOOKUP(B266,'Leghe Fantacalcio'!A:I,2,FALSE))</f>
        <v/>
      </c>
      <c r="N266" s="1">
        <f t="shared" si="18"/>
        <v>2188</v>
      </c>
      <c r="O266" s="1">
        <f>IFERROR(VLOOKUP(N266,'Leghe Fantacalcio'!B:I,8,FALSE),0)</f>
        <v>16</v>
      </c>
      <c r="P266" s="1" t="str">
        <f t="shared" si="19"/>
        <v>update giocatori set fvm = 16 where id = 1063096;</v>
      </c>
    </row>
    <row r="267" spans="1:16" x14ac:dyDescent="0.25">
      <c r="A267" s="1" t="str">
        <f t="shared" si="16"/>
        <v>MottaLazio</v>
      </c>
      <c r="B267" s="1" t="str">
        <f t="shared" si="17"/>
        <v>Motta E.Lazio</v>
      </c>
      <c r="C267" s="1">
        <v>1118164</v>
      </c>
      <c r="D267" s="1" t="s">
        <v>67</v>
      </c>
      <c r="E267" s="1" t="s">
        <v>573</v>
      </c>
      <c r="F267" s="1" t="s">
        <v>24</v>
      </c>
      <c r="G267" s="1" t="s">
        <v>8</v>
      </c>
      <c r="H267" s="1">
        <v>6</v>
      </c>
      <c r="I267" s="1">
        <v>1</v>
      </c>
      <c r="J267" s="1" t="str">
        <f>VLOOKUP(A267,'Leghe Fantacalcio'!A:I,1,FALSE)</f>
        <v>MottaLazio</v>
      </c>
      <c r="K267" s="1" t="e">
        <f>VLOOKUP(B267,'Leghe Fantacalcio'!A:I,1,FALSE)</f>
        <v>#N/A</v>
      </c>
      <c r="L267" s="1">
        <f>IF(ISNA(VLOOKUP(A267,'Leghe Fantacalcio'!A:I,2,FALSE)),"",VLOOKUP(A267,'Leghe Fantacalcio'!A:I,2,FALSE))</f>
        <v>7337</v>
      </c>
      <c r="M267" s="1" t="str">
        <f>IF(ISNA(VLOOKUP(B267,'Leghe Fantacalcio'!A:I,2,FALSE)),"",VLOOKUP(B267,'Leghe Fantacalcio'!A:I,2,FALSE))</f>
        <v/>
      </c>
      <c r="N267" s="1">
        <f t="shared" si="18"/>
        <v>7337</v>
      </c>
      <c r="O267" s="1">
        <f>IFERROR(VLOOKUP(N267,'Leghe Fantacalcio'!B:I,8,FALSE),0)</f>
        <v>1</v>
      </c>
      <c r="P267" s="1" t="str">
        <f t="shared" si="19"/>
        <v>update giocatori set fvm = 1 where id = 1118164;</v>
      </c>
    </row>
    <row r="268" spans="1:16" x14ac:dyDescent="0.25">
      <c r="A268" s="1" t="str">
        <f t="shared" si="16"/>
        <v>NoslinLazio</v>
      </c>
      <c r="B268" s="1" t="str">
        <f t="shared" si="17"/>
        <v>Noslin T.Lazio</v>
      </c>
      <c r="C268" s="1">
        <v>1119040</v>
      </c>
      <c r="D268" s="1" t="s">
        <v>516</v>
      </c>
      <c r="E268" s="1" t="s">
        <v>599</v>
      </c>
      <c r="F268" s="1" t="s">
        <v>24</v>
      </c>
      <c r="G268" s="1" t="s">
        <v>478</v>
      </c>
      <c r="H268" s="1">
        <v>6</v>
      </c>
      <c r="I268" s="1">
        <v>23</v>
      </c>
      <c r="J268" s="1" t="str">
        <f>VLOOKUP(A268,'Leghe Fantacalcio'!A:I,1,FALSE)</f>
        <v>NoslinLazio</v>
      </c>
      <c r="K268" s="1" t="e">
        <f>VLOOKUP(B268,'Leghe Fantacalcio'!A:I,1,FALSE)</f>
        <v>#N/A</v>
      </c>
      <c r="L268" s="1">
        <f>IF(ISNA(VLOOKUP(A268,'Leghe Fantacalcio'!A:I,2,FALSE)),"",VLOOKUP(A268,'Leghe Fantacalcio'!A:I,2,FALSE))</f>
        <v>6556</v>
      </c>
      <c r="M268" s="1" t="str">
        <f>IF(ISNA(VLOOKUP(B268,'Leghe Fantacalcio'!A:I,2,FALSE)),"",VLOOKUP(B268,'Leghe Fantacalcio'!A:I,2,FALSE))</f>
        <v/>
      </c>
      <c r="N268" s="1">
        <f t="shared" si="18"/>
        <v>6556</v>
      </c>
      <c r="O268" s="1">
        <f>IFERROR(VLOOKUP(N268,'Leghe Fantacalcio'!B:I,8,FALSE),0)</f>
        <v>35</v>
      </c>
      <c r="P268" s="1" t="str">
        <f t="shared" si="19"/>
        <v>update giocatori set fvm = 35 where id = 1119040;</v>
      </c>
    </row>
    <row r="269" spans="1:16" ht="14.5" x14ac:dyDescent="0.35">
      <c r="A269" s="1" t="str">
        <f t="shared" si="16"/>
        <v>Tavares N.Lazio</v>
      </c>
      <c r="B269" s="1" t="str">
        <f t="shared" si="17"/>
        <v>Tavares N. Lazio</v>
      </c>
      <c r="C269" s="1">
        <v>1072863</v>
      </c>
      <c r="D269" t="s">
        <v>124</v>
      </c>
      <c r="E269" s="1" t="s">
        <v>579</v>
      </c>
      <c r="F269" s="1" t="s">
        <v>24</v>
      </c>
      <c r="G269" s="1" t="s">
        <v>92</v>
      </c>
      <c r="H269" s="1">
        <v>6</v>
      </c>
      <c r="I269" s="1">
        <v>12</v>
      </c>
      <c r="J269" s="1" t="str">
        <f>VLOOKUP(A269,'Leghe Fantacalcio'!A:I,1,FALSE)</f>
        <v>Tavares N.Lazio</v>
      </c>
      <c r="K269" s="1" t="e">
        <f>VLOOKUP(B269,'Leghe Fantacalcio'!A:I,1,FALSE)</f>
        <v>#N/A</v>
      </c>
      <c r="L269" s="1">
        <f>IF(ISNA(VLOOKUP(A269,'Leghe Fantacalcio'!A:I,2,FALSE)),"",VLOOKUP(A269,'Leghe Fantacalcio'!A:I,2,FALSE))</f>
        <v>5620</v>
      </c>
      <c r="M269" s="1" t="str">
        <f>IF(ISNA(VLOOKUP(B269,'Leghe Fantacalcio'!A:I,2,FALSE)),"",VLOOKUP(B269,'Leghe Fantacalcio'!A:I,2,FALSE))</f>
        <v/>
      </c>
      <c r="N269" s="1">
        <f t="shared" si="18"/>
        <v>5620</v>
      </c>
      <c r="O269" s="1">
        <f>IFERROR(VLOOKUP(N269,'Leghe Fantacalcio'!B:I,8,FALSE),0)</f>
        <v>45</v>
      </c>
      <c r="P269" s="1" t="str">
        <f t="shared" si="19"/>
        <v>update giocatori set fvm = 45 where id = 1072863;</v>
      </c>
    </row>
    <row r="270" spans="1:16" x14ac:dyDescent="0.25">
      <c r="A270" s="1" t="str">
        <f t="shared" si="16"/>
        <v>PatricLazio</v>
      </c>
      <c r="B270" s="1" t="str">
        <f t="shared" si="17"/>
        <v>Patric Lazio</v>
      </c>
      <c r="C270" s="1">
        <v>1044231</v>
      </c>
      <c r="D270" s="1" t="s">
        <v>262</v>
      </c>
      <c r="E270" s="1" t="s">
        <v>579</v>
      </c>
      <c r="F270" s="1" t="s">
        <v>24</v>
      </c>
      <c r="G270" s="1" t="s">
        <v>92</v>
      </c>
      <c r="H270" s="1">
        <v>6</v>
      </c>
      <c r="I270" s="1">
        <v>3</v>
      </c>
      <c r="J270" s="1" t="str">
        <f>VLOOKUP(A270,'Leghe Fantacalcio'!A:I,1,FALSE)</f>
        <v>PatricLazio</v>
      </c>
      <c r="K270" s="1" t="e">
        <f>VLOOKUP(B270,'Leghe Fantacalcio'!A:I,1,FALSE)</f>
        <v>#N/A</v>
      </c>
      <c r="L270" s="1">
        <f>IF(ISNA(VLOOKUP(A270,'Leghe Fantacalcio'!A:I,2,FALSE)),"",VLOOKUP(A270,'Leghe Fantacalcio'!A:I,2,FALSE))</f>
        <v>327</v>
      </c>
      <c r="M270" s="1" t="str">
        <f>IF(ISNA(VLOOKUP(B270,'Leghe Fantacalcio'!A:I,2,FALSE)),"",VLOOKUP(B270,'Leghe Fantacalcio'!A:I,2,FALSE))</f>
        <v/>
      </c>
      <c r="N270" s="1">
        <f t="shared" si="18"/>
        <v>327</v>
      </c>
      <c r="O270" s="1">
        <f>IFERROR(VLOOKUP(N270,'Leghe Fantacalcio'!B:I,8,FALSE),0)</f>
        <v>1</v>
      </c>
      <c r="P270" s="1" t="str">
        <f t="shared" si="19"/>
        <v>update giocatori set fvm = 1 where id = 1044231;</v>
      </c>
    </row>
    <row r="271" spans="1:16" ht="14.5" x14ac:dyDescent="0.35">
      <c r="A271" s="1" t="str">
        <f t="shared" si="16"/>
        <v>Pellegrini Lu.Lazio</v>
      </c>
      <c r="B271" s="1" t="str">
        <f t="shared" si="17"/>
        <v>Pellegrini Lu. L.Lazio</v>
      </c>
      <c r="C271" s="1">
        <v>1061624</v>
      </c>
      <c r="D271" t="s">
        <v>264</v>
      </c>
      <c r="E271" s="1" t="s">
        <v>590</v>
      </c>
      <c r="F271" s="1" t="s">
        <v>24</v>
      </c>
      <c r="G271" s="1" t="s">
        <v>92</v>
      </c>
      <c r="H271" s="1">
        <v>6</v>
      </c>
      <c r="I271" s="1">
        <v>3</v>
      </c>
      <c r="J271" s="1" t="str">
        <f>VLOOKUP(A271,'Leghe Fantacalcio'!A:I,1,FALSE)</f>
        <v>Pellegrini Lu.Lazio</v>
      </c>
      <c r="K271" s="1" t="e">
        <f>VLOOKUP(B271,'Leghe Fantacalcio'!A:I,1,FALSE)</f>
        <v>#N/A</v>
      </c>
      <c r="L271" s="1">
        <f>IF(ISNA(VLOOKUP(A271,'Leghe Fantacalcio'!A:I,2,FALSE)),"",VLOOKUP(A271,'Leghe Fantacalcio'!A:I,2,FALSE))</f>
        <v>2728</v>
      </c>
      <c r="M271" s="1" t="str">
        <f>IF(ISNA(VLOOKUP(B271,'Leghe Fantacalcio'!A:I,2,FALSE)),"",VLOOKUP(B271,'Leghe Fantacalcio'!A:I,2,FALSE))</f>
        <v/>
      </c>
      <c r="N271" s="1">
        <f t="shared" si="18"/>
        <v>2728</v>
      </c>
      <c r="O271" s="1">
        <f>IFERROR(VLOOKUP(N271,'Leghe Fantacalcio'!B:I,8,FALSE),0)</f>
        <v>7</v>
      </c>
      <c r="P271" s="1" t="str">
        <f t="shared" si="19"/>
        <v>update giocatori set fvm = 7 where id = 1061624;</v>
      </c>
    </row>
    <row r="272" spans="1:16" x14ac:dyDescent="0.25">
      <c r="A272" s="1" t="str">
        <f t="shared" si="16"/>
        <v>PinamontiLazio</v>
      </c>
      <c r="B272" s="1" t="str">
        <f t="shared" si="17"/>
        <v>Pinamonti A.Lazio</v>
      </c>
      <c r="C272" s="1">
        <v>1059346</v>
      </c>
      <c r="D272" s="1" t="s">
        <v>518</v>
      </c>
      <c r="E272" s="1" t="s">
        <v>584</v>
      </c>
      <c r="F272" s="1" t="s">
        <v>24</v>
      </c>
      <c r="G272" s="1" t="s">
        <v>478</v>
      </c>
      <c r="H272" s="1">
        <v>6</v>
      </c>
      <c r="I272" s="1">
        <v>38</v>
      </c>
      <c r="J272" s="1" t="str">
        <f>VLOOKUP(A272,'Leghe Fantacalcio'!A:I,1,FALSE)</f>
        <v>PinamontiLazio</v>
      </c>
      <c r="K272" s="1" t="e">
        <f>VLOOKUP(B272,'Leghe Fantacalcio'!A:I,1,FALSE)</f>
        <v>#N/A</v>
      </c>
      <c r="L272" s="1">
        <f>IF(ISNA(VLOOKUP(A272,'Leghe Fantacalcio'!A:I,2,FALSE)),"",VLOOKUP(A272,'Leghe Fantacalcio'!A:I,2,FALSE))</f>
        <v>2038</v>
      </c>
      <c r="M272" s="1" t="str">
        <f>IF(ISNA(VLOOKUP(B272,'Leghe Fantacalcio'!A:I,2,FALSE)),"",VLOOKUP(B272,'Leghe Fantacalcio'!A:I,2,FALSE))</f>
        <v/>
      </c>
      <c r="N272" s="1">
        <f t="shared" si="18"/>
        <v>2038</v>
      </c>
      <c r="O272" s="1">
        <f>IFERROR(VLOOKUP(N272,'Leghe Fantacalcio'!B:I,8,FALSE),0)</f>
        <v>40</v>
      </c>
      <c r="P272" s="1" t="str">
        <f t="shared" si="19"/>
        <v>update giocatori set fvm = 40 where id = 1059346;</v>
      </c>
    </row>
    <row r="273" spans="1:16" ht="14.5" x14ac:dyDescent="0.35">
      <c r="A273" s="1" t="str">
        <f t="shared" si="16"/>
        <v>ProvstgaardLazio</v>
      </c>
      <c r="B273" s="1" t="str">
        <f t="shared" si="17"/>
        <v>Provstgaard O.Lazio</v>
      </c>
      <c r="C273" s="1">
        <v>1119843</v>
      </c>
      <c r="D273" t="s">
        <v>188</v>
      </c>
      <c r="E273" s="1" t="s">
        <v>577</v>
      </c>
      <c r="F273" s="1" t="s">
        <v>24</v>
      </c>
      <c r="G273" s="1" t="s">
        <v>92</v>
      </c>
      <c r="H273" s="1">
        <v>6</v>
      </c>
      <c r="I273" s="1">
        <v>9</v>
      </c>
      <c r="J273" s="1" t="str">
        <f>VLOOKUP(A273,'Leghe Fantacalcio'!A:I,1,FALSE)</f>
        <v>ProvstgaardLazio</v>
      </c>
      <c r="K273" s="1" t="e">
        <f>VLOOKUP(B273,'Leghe Fantacalcio'!A:I,1,FALSE)</f>
        <v>#N/A</v>
      </c>
      <c r="L273" s="1">
        <f>IF(ISNA(VLOOKUP(A273,'Leghe Fantacalcio'!A:I,2,FALSE)),"",VLOOKUP(A273,'Leghe Fantacalcio'!A:I,2,FALSE))</f>
        <v>7012</v>
      </c>
      <c r="M273" s="1" t="str">
        <f>IF(ISNA(VLOOKUP(B273,'Leghe Fantacalcio'!A:I,2,FALSE)),"",VLOOKUP(B273,'Leghe Fantacalcio'!A:I,2,FALSE))</f>
        <v/>
      </c>
      <c r="N273" s="1">
        <f t="shared" si="18"/>
        <v>7012</v>
      </c>
      <c r="O273" s="1">
        <f>IFERROR(VLOOKUP(N273,'Leghe Fantacalcio'!B:I,8,FALSE),0)</f>
        <v>12</v>
      </c>
      <c r="P273" s="1" t="str">
        <f t="shared" si="19"/>
        <v>update giocatori set fvm = 12 where id = 1119843;</v>
      </c>
    </row>
    <row r="274" spans="1:16" x14ac:dyDescent="0.25">
      <c r="A274" s="1" t="str">
        <f t="shared" si="16"/>
        <v>PrzyborekLazio</v>
      </c>
      <c r="B274" s="1" t="str">
        <f t="shared" si="17"/>
        <v>Przyborek A.Lazio</v>
      </c>
      <c r="C274" s="1">
        <v>1120321</v>
      </c>
      <c r="D274" s="1" t="s">
        <v>464</v>
      </c>
      <c r="E274" s="1" t="s">
        <v>584</v>
      </c>
      <c r="F274" s="1" t="s">
        <v>24</v>
      </c>
      <c r="G274" s="1" t="s">
        <v>283</v>
      </c>
      <c r="H274" s="1">
        <v>6</v>
      </c>
      <c r="I274" s="1">
        <v>4</v>
      </c>
      <c r="J274" s="1" t="str">
        <f>VLOOKUP(A274,'Leghe Fantacalcio'!A:I,1,FALSE)</f>
        <v>PrzyborekLazio</v>
      </c>
      <c r="K274" s="1" t="e">
        <f>VLOOKUP(B274,'Leghe Fantacalcio'!A:I,1,FALSE)</f>
        <v>#N/A</v>
      </c>
      <c r="L274" s="1">
        <f>IF(ISNA(VLOOKUP(A274,'Leghe Fantacalcio'!A:I,2,FALSE)),"",VLOOKUP(A274,'Leghe Fantacalcio'!A:I,2,FALSE))</f>
        <v>7345</v>
      </c>
      <c r="M274" s="1" t="str">
        <f>IF(ISNA(VLOOKUP(B274,'Leghe Fantacalcio'!A:I,2,FALSE)),"",VLOOKUP(B274,'Leghe Fantacalcio'!A:I,2,FALSE))</f>
        <v/>
      </c>
      <c r="N274" s="1">
        <f t="shared" si="18"/>
        <v>7345</v>
      </c>
      <c r="O274" s="1">
        <f>IFERROR(VLOOKUP(N274,'Leghe Fantacalcio'!B:I,8,FALSE),0)</f>
        <v>5</v>
      </c>
      <c r="P274" s="1" t="str">
        <f t="shared" si="19"/>
        <v>update giocatori set fvm = 5 where id = 1120321;</v>
      </c>
    </row>
    <row r="275" spans="1:16" x14ac:dyDescent="0.25">
      <c r="A275" s="1" t="str">
        <f t="shared" si="16"/>
        <v>RenzettiLazio</v>
      </c>
      <c r="B275" s="1" t="str">
        <f t="shared" si="17"/>
        <v>Renzetti D.Lazio</v>
      </c>
      <c r="C275" s="1">
        <v>1116485</v>
      </c>
      <c r="D275" s="1" t="s">
        <v>68</v>
      </c>
      <c r="E275" s="1" t="s">
        <v>593</v>
      </c>
      <c r="F275" s="1" t="s">
        <v>24</v>
      </c>
      <c r="G275" s="1" t="s">
        <v>8</v>
      </c>
      <c r="H275" s="1">
        <v>6</v>
      </c>
      <c r="I275" s="1">
        <v>1</v>
      </c>
      <c r="J275" s="1" t="str">
        <f>VLOOKUP(A275,'Leghe Fantacalcio'!A:I,1,FALSE)</f>
        <v>RenzettiLazio</v>
      </c>
      <c r="K275" s="1" t="e">
        <f>VLOOKUP(B275,'Leghe Fantacalcio'!A:I,1,FALSE)</f>
        <v>#N/A</v>
      </c>
      <c r="L275" s="1">
        <f>IF(ISNA(VLOOKUP(A275,'Leghe Fantacalcio'!A:I,2,FALSE)),"",VLOOKUP(A275,'Leghe Fantacalcio'!A:I,2,FALSE))</f>
        <v>7534</v>
      </c>
      <c r="M275" s="1" t="str">
        <f>IF(ISNA(VLOOKUP(B275,'Leghe Fantacalcio'!A:I,2,FALSE)),"",VLOOKUP(B275,'Leghe Fantacalcio'!A:I,2,FALSE))</f>
        <v/>
      </c>
      <c r="N275" s="1">
        <f t="shared" si="18"/>
        <v>7534</v>
      </c>
      <c r="O275" s="1">
        <f>IFERROR(VLOOKUP(N275,'Leghe Fantacalcio'!B:I,8,FALSE),0)</f>
        <v>1</v>
      </c>
      <c r="P275" s="1" t="str">
        <f t="shared" si="19"/>
        <v>update giocatori set fvm = 1 where id = 1116485;</v>
      </c>
    </row>
    <row r="276" spans="1:16" x14ac:dyDescent="0.25">
      <c r="A276" s="1" t="str">
        <f t="shared" si="16"/>
        <v>RovellaLazio</v>
      </c>
      <c r="B276" s="1" t="str">
        <f t="shared" si="17"/>
        <v>Rovella N.Lazio</v>
      </c>
      <c r="C276" s="1">
        <v>1070706</v>
      </c>
      <c r="D276" s="1" t="s">
        <v>381</v>
      </c>
      <c r="E276" s="1" t="s">
        <v>578</v>
      </c>
      <c r="F276" s="1" t="s">
        <v>24</v>
      </c>
      <c r="G276" s="1" t="s">
        <v>283</v>
      </c>
      <c r="H276" s="1">
        <v>6</v>
      </c>
      <c r="I276" s="1">
        <v>12</v>
      </c>
      <c r="J276" s="1" t="str">
        <f>VLOOKUP(A276,'Leghe Fantacalcio'!A:I,1,FALSE)</f>
        <v>RovellaLazio</v>
      </c>
      <c r="K276" s="1" t="e">
        <f>VLOOKUP(B276,'Leghe Fantacalcio'!A:I,1,FALSE)</f>
        <v>#N/A</v>
      </c>
      <c r="L276" s="1">
        <f>IF(ISNA(VLOOKUP(A276,'Leghe Fantacalcio'!A:I,2,FALSE)),"",VLOOKUP(A276,'Leghe Fantacalcio'!A:I,2,FALSE))</f>
        <v>4459</v>
      </c>
      <c r="M276" s="1" t="str">
        <f>IF(ISNA(VLOOKUP(B276,'Leghe Fantacalcio'!A:I,2,FALSE)),"",VLOOKUP(B276,'Leghe Fantacalcio'!A:I,2,FALSE))</f>
        <v/>
      </c>
      <c r="N276" s="1">
        <f t="shared" si="18"/>
        <v>4459</v>
      </c>
      <c r="O276" s="1">
        <f>IFERROR(VLOOKUP(N276,'Leghe Fantacalcio'!B:I,8,FALSE),0)</f>
        <v>16</v>
      </c>
      <c r="P276" s="1" t="str">
        <f t="shared" si="19"/>
        <v>update giocatori set fvm = 16 where id = 1070706;</v>
      </c>
    </row>
    <row r="277" spans="1:16" x14ac:dyDescent="0.25">
      <c r="A277" s="1" t="str">
        <f t="shared" si="16"/>
        <v>SutaloLazio</v>
      </c>
      <c r="B277" s="1" t="str">
        <f t="shared" si="17"/>
        <v>Sutalo J.Lazio</v>
      </c>
      <c r="C277" s="1">
        <v>1095960</v>
      </c>
      <c r="D277" s="1" t="s">
        <v>634</v>
      </c>
      <c r="E277" s="1" t="s">
        <v>571</v>
      </c>
      <c r="F277" s="1" t="s">
        <v>24</v>
      </c>
      <c r="G277" s="1" t="s">
        <v>92</v>
      </c>
      <c r="H277" s="1">
        <v>6</v>
      </c>
      <c r="I277" s="1">
        <v>18</v>
      </c>
      <c r="J277" s="1" t="e">
        <f>VLOOKUP(A277,'Leghe Fantacalcio'!A:I,1,FALSE)</f>
        <v>#N/A</v>
      </c>
      <c r="K277" s="1" t="str">
        <f>VLOOKUP(B277,'Leghe Fantacalcio'!A:I,1,FALSE)</f>
        <v>Sutalo J.Lazio</v>
      </c>
      <c r="L277" s="1" t="str">
        <f>IF(ISNA(VLOOKUP(A277,'Leghe Fantacalcio'!A:I,2,FALSE)),"",VLOOKUP(A277,'Leghe Fantacalcio'!A:I,2,FALSE))</f>
        <v/>
      </c>
      <c r="M277" s="1">
        <f>IF(ISNA(VLOOKUP(B277,'Leghe Fantacalcio'!A:I,2,FALSE)),"",VLOOKUP(B277,'Leghe Fantacalcio'!A:I,2,FALSE))</f>
        <v>7580</v>
      </c>
      <c r="N277" s="1">
        <f t="shared" si="18"/>
        <v>7580</v>
      </c>
      <c r="O277" s="1">
        <f>IFERROR(VLOOKUP(N277,'Leghe Fantacalcio'!B:I,8,FALSE),0)</f>
        <v>20</v>
      </c>
      <c r="P277" s="1" t="str">
        <f t="shared" si="19"/>
        <v>update giocatori set fvm = 20 where id = 1095960;</v>
      </c>
    </row>
    <row r="278" spans="1:16" x14ac:dyDescent="0.25">
      <c r="A278" s="1" t="str">
        <f t="shared" si="16"/>
        <v>TaylorLazio</v>
      </c>
      <c r="B278" s="1" t="str">
        <f t="shared" si="17"/>
        <v>Taylor K.Lazio</v>
      </c>
      <c r="C278" s="1">
        <v>1102241</v>
      </c>
      <c r="D278" s="1" t="s">
        <v>664</v>
      </c>
      <c r="E278" s="1" t="s">
        <v>586</v>
      </c>
      <c r="F278" s="1" t="s">
        <v>24</v>
      </c>
      <c r="G278" s="1" t="s">
        <v>283</v>
      </c>
      <c r="H278" s="1">
        <v>6</v>
      </c>
      <c r="I278" s="1">
        <v>29</v>
      </c>
      <c r="J278" s="1" t="e">
        <f>VLOOKUP(A278,'Leghe Fantacalcio'!A:I,1,FALSE)</f>
        <v>#N/A</v>
      </c>
      <c r="K278" s="1" t="str">
        <f>VLOOKUP(B278,'Leghe Fantacalcio'!A:I,1,FALSE)</f>
        <v>Taylor K.Lazio</v>
      </c>
      <c r="L278" s="1" t="str">
        <f>IF(ISNA(VLOOKUP(A278,'Leghe Fantacalcio'!A:I,2,FALSE)),"",VLOOKUP(A278,'Leghe Fantacalcio'!A:I,2,FALSE))</f>
        <v/>
      </c>
      <c r="M278" s="1">
        <f>IF(ISNA(VLOOKUP(B278,'Leghe Fantacalcio'!A:I,2,FALSE)),"",VLOOKUP(B278,'Leghe Fantacalcio'!A:I,2,FALSE))</f>
        <v>7314</v>
      </c>
      <c r="N278" s="1">
        <f t="shared" si="18"/>
        <v>7314</v>
      </c>
      <c r="O278" s="1">
        <f>IFERROR(VLOOKUP(N278,'Leghe Fantacalcio'!B:I,8,FALSE),0)</f>
        <v>43</v>
      </c>
      <c r="P278" s="1" t="str">
        <f t="shared" si="19"/>
        <v>update giocatori set fvm = 43 where id = 1102241;</v>
      </c>
    </row>
    <row r="279" spans="1:16" x14ac:dyDescent="0.25">
      <c r="A279" s="1" t="str">
        <f t="shared" si="16"/>
        <v>ZaccagniLazio</v>
      </c>
      <c r="B279" s="1" t="str">
        <f t="shared" si="17"/>
        <v>Zaccagni M.Lazio</v>
      </c>
      <c r="C279" s="1">
        <v>1043177</v>
      </c>
      <c r="D279" s="1" t="s">
        <v>293</v>
      </c>
      <c r="E279" s="1" t="s">
        <v>572</v>
      </c>
      <c r="F279" s="1" t="s">
        <v>24</v>
      </c>
      <c r="G279" s="1" t="s">
        <v>283</v>
      </c>
      <c r="H279" s="1">
        <v>6</v>
      </c>
      <c r="I279" s="1">
        <v>36</v>
      </c>
      <c r="J279" s="1" t="str">
        <f>VLOOKUP(A279,'Leghe Fantacalcio'!A:I,1,FALSE)</f>
        <v>ZaccagniLazio</v>
      </c>
      <c r="K279" s="1" t="e">
        <f>VLOOKUP(B279,'Leghe Fantacalcio'!A:I,1,FALSE)</f>
        <v>#N/A</v>
      </c>
      <c r="L279" s="1">
        <f>IF(ISNA(VLOOKUP(A279,'Leghe Fantacalcio'!A:I,2,FALSE)),"",VLOOKUP(A279,'Leghe Fantacalcio'!A:I,2,FALSE))</f>
        <v>632</v>
      </c>
      <c r="M279" s="1" t="str">
        <f>IF(ISNA(VLOOKUP(B279,'Leghe Fantacalcio'!A:I,2,FALSE)),"",VLOOKUP(B279,'Leghe Fantacalcio'!A:I,2,FALSE))</f>
        <v/>
      </c>
      <c r="N279" s="1">
        <f t="shared" si="18"/>
        <v>632</v>
      </c>
      <c r="O279" s="1">
        <f>IFERROR(VLOOKUP(N279,'Leghe Fantacalcio'!B:I,8,FALSE),0)</f>
        <v>122</v>
      </c>
      <c r="P279" s="1" t="str">
        <f t="shared" si="19"/>
        <v>update giocatori set fvm = 122 where id = 1043177;</v>
      </c>
    </row>
    <row r="280" spans="1:16" x14ac:dyDescent="0.25">
      <c r="A280" s="1" t="str">
        <f t="shared" si="16"/>
        <v>BerishaLecce</v>
      </c>
      <c r="B280" s="1" t="str">
        <f t="shared" si="17"/>
        <v>Berisha M.Lecce</v>
      </c>
      <c r="C280" s="1">
        <v>1115133</v>
      </c>
      <c r="D280" s="1" t="s">
        <v>638</v>
      </c>
      <c r="E280" s="1" t="s">
        <v>572</v>
      </c>
      <c r="F280" s="1" t="s">
        <v>39</v>
      </c>
      <c r="G280" s="1" t="s">
        <v>283</v>
      </c>
      <c r="H280" s="1">
        <v>6</v>
      </c>
      <c r="I280" s="1">
        <v>17</v>
      </c>
      <c r="J280" s="1" t="e">
        <f>VLOOKUP(A280,'Leghe Fantacalcio'!A:I,1,FALSE)</f>
        <v>#N/A</v>
      </c>
      <c r="K280" s="1" t="str">
        <f>VLOOKUP(B280,'Leghe Fantacalcio'!A:I,1,FALSE)</f>
        <v>Berisha M.Lecce</v>
      </c>
      <c r="L280" s="1" t="str">
        <f>IF(ISNA(VLOOKUP(A280,'Leghe Fantacalcio'!A:I,2,FALSE)),"",VLOOKUP(A280,'Leghe Fantacalcio'!A:I,2,FALSE))</f>
        <v/>
      </c>
      <c r="M280" s="1">
        <f>IF(ISNA(VLOOKUP(B280,'Leghe Fantacalcio'!A:I,2,FALSE)),"",VLOOKUP(B280,'Leghe Fantacalcio'!A:I,2,FALSE))</f>
        <v>6015</v>
      </c>
      <c r="N280" s="1">
        <f t="shared" si="18"/>
        <v>6015</v>
      </c>
      <c r="O280" s="1">
        <f>IFERROR(VLOOKUP(N280,'Leghe Fantacalcio'!B:I,8,FALSE),0)</f>
        <v>11</v>
      </c>
      <c r="P280" s="1" t="str">
        <f t="shared" si="19"/>
        <v>update giocatori set fvm = 11 where id = 1115133;</v>
      </c>
    </row>
    <row r="281" spans="1:16" x14ac:dyDescent="0.25">
      <c r="A281" s="1" t="str">
        <f t="shared" si="16"/>
        <v>BleveLecce</v>
      </c>
      <c r="B281" s="1" t="str">
        <f t="shared" si="17"/>
        <v>Bleve M.Lecce</v>
      </c>
      <c r="C281" s="1">
        <v>1063106</v>
      </c>
      <c r="D281" s="1" t="s">
        <v>87</v>
      </c>
      <c r="E281" s="1" t="s">
        <v>572</v>
      </c>
      <c r="F281" s="1" t="s">
        <v>39</v>
      </c>
      <c r="G281" s="1" t="s">
        <v>8</v>
      </c>
      <c r="H281" s="1">
        <v>6</v>
      </c>
      <c r="I281" s="1">
        <v>1</v>
      </c>
      <c r="J281" s="1" t="str">
        <f>VLOOKUP(A281,'Leghe Fantacalcio'!A:I,1,FALSE)</f>
        <v>BleveLecce</v>
      </c>
      <c r="K281" s="1" t="e">
        <f>VLOOKUP(B281,'Leghe Fantacalcio'!A:I,1,FALSE)</f>
        <v>#N/A</v>
      </c>
      <c r="L281" s="1">
        <f>IF(ISNA(VLOOKUP(A281,'Leghe Fantacalcio'!A:I,2,FALSE)),"",VLOOKUP(A281,'Leghe Fantacalcio'!A:I,2,FALSE))</f>
        <v>4468</v>
      </c>
      <c r="M281" s="1" t="str">
        <f>IF(ISNA(VLOOKUP(B281,'Leghe Fantacalcio'!A:I,2,FALSE)),"",VLOOKUP(B281,'Leghe Fantacalcio'!A:I,2,FALSE))</f>
        <v/>
      </c>
      <c r="N281" s="1">
        <f t="shared" si="18"/>
        <v>4468</v>
      </c>
      <c r="O281" s="1">
        <f>IFERROR(VLOOKUP(N281,'Leghe Fantacalcio'!B:I,8,FALSE),0)</f>
        <v>1</v>
      </c>
      <c r="P281" s="1" t="str">
        <f t="shared" si="19"/>
        <v>update giocatori set fvm = 1 where id = 1063106;</v>
      </c>
    </row>
    <row r="282" spans="1:16" x14ac:dyDescent="0.25">
      <c r="A282" s="1" t="str">
        <f t="shared" si="16"/>
        <v>CoulibalyLecce</v>
      </c>
      <c r="B282" s="1" t="str">
        <f t="shared" si="17"/>
        <v>Coulibaly L.Lecce</v>
      </c>
      <c r="C282" s="1">
        <v>1095265</v>
      </c>
      <c r="D282" s="1" t="s">
        <v>639</v>
      </c>
      <c r="E282" s="1" t="s">
        <v>590</v>
      </c>
      <c r="F282" s="1" t="s">
        <v>39</v>
      </c>
      <c r="G282" s="1" t="s">
        <v>283</v>
      </c>
      <c r="H282" s="1">
        <v>6</v>
      </c>
      <c r="I282" s="1">
        <v>19</v>
      </c>
      <c r="J282" s="1" t="e">
        <f>VLOOKUP(A282,'Leghe Fantacalcio'!A:I,1,FALSE)</f>
        <v>#N/A</v>
      </c>
      <c r="K282" s="1" t="str">
        <f>VLOOKUP(B282,'Leghe Fantacalcio'!A:I,1,FALSE)</f>
        <v>Coulibaly L.Lecce</v>
      </c>
      <c r="L282" s="1" t="str">
        <f>IF(ISNA(VLOOKUP(A282,'Leghe Fantacalcio'!A:I,2,FALSE)),"",VLOOKUP(A282,'Leghe Fantacalcio'!A:I,2,FALSE))</f>
        <v/>
      </c>
      <c r="M282" s="1">
        <f>IF(ISNA(VLOOKUP(B282,'Leghe Fantacalcio'!A:I,2,FALSE)),"",VLOOKUP(B282,'Leghe Fantacalcio'!A:I,2,FALSE))</f>
        <v>5504</v>
      </c>
      <c r="N282" s="1">
        <f t="shared" si="18"/>
        <v>5504</v>
      </c>
      <c r="O282" s="1">
        <f>IFERROR(VLOOKUP(N282,'Leghe Fantacalcio'!B:I,8,FALSE),0)</f>
        <v>17</v>
      </c>
      <c r="P282" s="1" t="str">
        <f t="shared" si="19"/>
        <v>update giocatori set fvm = 17 where id = 1095265;</v>
      </c>
    </row>
    <row r="283" spans="1:16" ht="14.5" x14ac:dyDescent="0.35">
      <c r="A283" s="1" t="str">
        <f t="shared" si="16"/>
        <v>Veiga D.Lecce</v>
      </c>
      <c r="B283" s="1" t="str">
        <f t="shared" si="17"/>
        <v>Veiga D. Lecce</v>
      </c>
      <c r="C283" s="1">
        <v>1119839</v>
      </c>
      <c r="D283" t="s">
        <v>165</v>
      </c>
      <c r="E283" s="1" t="s">
        <v>579</v>
      </c>
      <c r="F283" s="1" t="s">
        <v>39</v>
      </c>
      <c r="G283" s="1" t="s">
        <v>92</v>
      </c>
      <c r="H283" s="1">
        <v>6</v>
      </c>
      <c r="I283" s="1">
        <v>7</v>
      </c>
      <c r="J283" s="1" t="str">
        <f>VLOOKUP(A283,'Leghe Fantacalcio'!A:I,1,FALSE)</f>
        <v>Veiga D.Lecce</v>
      </c>
      <c r="K283" s="1" t="e">
        <f>VLOOKUP(B283,'Leghe Fantacalcio'!A:I,1,FALSE)</f>
        <v>#N/A</v>
      </c>
      <c r="L283" s="1">
        <f>IF(ISNA(VLOOKUP(A283,'Leghe Fantacalcio'!A:I,2,FALSE)),"",VLOOKUP(A283,'Leghe Fantacalcio'!A:I,2,FALSE))</f>
        <v>6990</v>
      </c>
      <c r="M283" s="1" t="str">
        <f>IF(ISNA(VLOOKUP(B283,'Leghe Fantacalcio'!A:I,2,FALSE)),"",VLOOKUP(B283,'Leghe Fantacalcio'!A:I,2,FALSE))</f>
        <v/>
      </c>
      <c r="N283" s="1">
        <f t="shared" si="18"/>
        <v>6990</v>
      </c>
      <c r="O283" s="1">
        <f>IFERROR(VLOOKUP(N283,'Leghe Fantacalcio'!B:I,8,FALSE),0)</f>
        <v>12</v>
      </c>
      <c r="P283" s="1" t="str">
        <f t="shared" si="19"/>
        <v>update giocatori set fvm = 12 where id = 1119839;</v>
      </c>
    </row>
    <row r="284" spans="1:16" x14ac:dyDescent="0.25">
      <c r="A284" s="1" t="str">
        <f t="shared" si="16"/>
        <v>DembeleLecce</v>
      </c>
      <c r="B284" s="1" t="str">
        <f t="shared" si="17"/>
        <v>Dembele A.Lecce</v>
      </c>
      <c r="C284" s="1">
        <v>1116113</v>
      </c>
      <c r="D284" s="1" t="s">
        <v>612</v>
      </c>
      <c r="E284" s="1" t="s">
        <v>584</v>
      </c>
      <c r="F284" s="1" t="s">
        <v>39</v>
      </c>
      <c r="G284" s="1" t="s">
        <v>92</v>
      </c>
      <c r="H284" s="1">
        <v>6</v>
      </c>
      <c r="I284" s="1">
        <v>1</v>
      </c>
      <c r="J284" s="1" t="e">
        <f>VLOOKUP(A284,'Leghe Fantacalcio'!A:I,1,FALSE)</f>
        <v>#N/A</v>
      </c>
      <c r="K284" s="1" t="e">
        <f>VLOOKUP(B284,'Leghe Fantacalcio'!A:I,1,FALSE)</f>
        <v>#N/A</v>
      </c>
      <c r="L284" s="1" t="str">
        <f>IF(ISNA(VLOOKUP(A284,'Leghe Fantacalcio'!A:I,2,FALSE)),"",VLOOKUP(A284,'Leghe Fantacalcio'!A:I,2,FALSE))</f>
        <v/>
      </c>
      <c r="M284" s="1" t="str">
        <f>IF(ISNA(VLOOKUP(B284,'Leghe Fantacalcio'!A:I,2,FALSE)),"",VLOOKUP(B284,'Leghe Fantacalcio'!A:I,2,FALSE))</f>
        <v/>
      </c>
      <c r="N284" s="1" t="str">
        <f t="shared" si="18"/>
        <v/>
      </c>
      <c r="O284" s="1">
        <f>IFERROR(VLOOKUP(N284,'Leghe Fantacalcio'!B:I,8,FALSE),0)</f>
        <v>0</v>
      </c>
      <c r="P284" s="1" t="str">
        <f t="shared" si="19"/>
        <v>update giocatori set fvm = 0 where id = 1116113;</v>
      </c>
    </row>
    <row r="285" spans="1:16" x14ac:dyDescent="0.25">
      <c r="A285" s="1" t="str">
        <f t="shared" si="16"/>
        <v>FalconeLecce</v>
      </c>
      <c r="B285" s="1" t="str">
        <f t="shared" si="17"/>
        <v>Falcone W.Lecce</v>
      </c>
      <c r="C285" s="1">
        <v>1038409</v>
      </c>
      <c r="D285" s="1" t="s">
        <v>38</v>
      </c>
      <c r="E285" s="1" t="s">
        <v>582</v>
      </c>
      <c r="F285" s="1" t="s">
        <v>39</v>
      </c>
      <c r="G285" s="1" t="s">
        <v>8</v>
      </c>
      <c r="H285" s="1">
        <v>6</v>
      </c>
      <c r="I285" s="1">
        <v>9</v>
      </c>
      <c r="J285" s="1" t="str">
        <f>VLOOKUP(A285,'Leghe Fantacalcio'!A:I,1,FALSE)</f>
        <v>FalconeLecce</v>
      </c>
      <c r="K285" s="1" t="e">
        <f>VLOOKUP(B285,'Leghe Fantacalcio'!A:I,1,FALSE)</f>
        <v>#N/A</v>
      </c>
      <c r="L285" s="1">
        <f>IF(ISNA(VLOOKUP(A285,'Leghe Fantacalcio'!A:I,2,FALSE)),"",VLOOKUP(A285,'Leghe Fantacalcio'!A:I,2,FALSE))</f>
        <v>2134</v>
      </c>
      <c r="M285" s="1" t="str">
        <f>IF(ISNA(VLOOKUP(B285,'Leghe Fantacalcio'!A:I,2,FALSE)),"",VLOOKUP(B285,'Leghe Fantacalcio'!A:I,2,FALSE))</f>
        <v/>
      </c>
      <c r="N285" s="1">
        <f t="shared" si="18"/>
        <v>2134</v>
      </c>
      <c r="O285" s="1">
        <f>IFERROR(VLOOKUP(N285,'Leghe Fantacalcio'!B:I,8,FALSE),0)</f>
        <v>23</v>
      </c>
      <c r="P285" s="1" t="str">
        <f t="shared" si="19"/>
        <v>update giocatori set fvm = 23 where id = 1038409;</v>
      </c>
    </row>
    <row r="286" spans="1:16" x14ac:dyDescent="0.25">
      <c r="A286" s="1" t="str">
        <f t="shared" si="16"/>
        <v>FatahLecce</v>
      </c>
      <c r="B286" s="1" t="str">
        <f t="shared" si="17"/>
        <v>Fatah A.Lecce</v>
      </c>
      <c r="C286" s="1">
        <v>1120610</v>
      </c>
      <c r="D286" s="1" t="s">
        <v>543</v>
      </c>
      <c r="E286" s="1" t="s">
        <v>584</v>
      </c>
      <c r="F286" s="1" t="s">
        <v>39</v>
      </c>
      <c r="G286" s="1" t="s">
        <v>478</v>
      </c>
      <c r="H286" s="1">
        <v>6</v>
      </c>
      <c r="I286" s="1">
        <v>8</v>
      </c>
      <c r="J286" s="1" t="str">
        <f>VLOOKUP(A286,'Leghe Fantacalcio'!A:I,1,FALSE)</f>
        <v>FatahLecce</v>
      </c>
      <c r="K286" s="1" t="e">
        <f>VLOOKUP(B286,'Leghe Fantacalcio'!A:I,1,FALSE)</f>
        <v>#N/A</v>
      </c>
      <c r="L286" s="1">
        <f>IF(ISNA(VLOOKUP(A286,'Leghe Fantacalcio'!A:I,2,FALSE)),"",VLOOKUP(A286,'Leghe Fantacalcio'!A:I,2,FALSE))</f>
        <v>7602</v>
      </c>
      <c r="M286" s="1" t="str">
        <f>IF(ISNA(VLOOKUP(B286,'Leghe Fantacalcio'!A:I,2,FALSE)),"",VLOOKUP(B286,'Leghe Fantacalcio'!A:I,2,FALSE))</f>
        <v/>
      </c>
      <c r="N286" s="1">
        <f t="shared" si="18"/>
        <v>7602</v>
      </c>
      <c r="O286" s="1">
        <f>IFERROR(VLOOKUP(N286,'Leghe Fantacalcio'!B:I,8,FALSE),0)</f>
        <v>8</v>
      </c>
      <c r="P286" s="1" t="str">
        <f t="shared" si="19"/>
        <v>update giocatori set fvm = 8 where id = 1120610;</v>
      </c>
    </row>
    <row r="287" spans="1:16" x14ac:dyDescent="0.25">
      <c r="A287" s="1" t="str">
        <f t="shared" si="16"/>
        <v>FofanaLecce</v>
      </c>
      <c r="B287" s="1" t="str">
        <f t="shared" si="17"/>
        <v>Fofana S.Lecce</v>
      </c>
      <c r="C287" s="1">
        <v>1110547</v>
      </c>
      <c r="D287" s="1" t="s">
        <v>643</v>
      </c>
      <c r="E287" s="1" t="s">
        <v>580</v>
      </c>
      <c r="F287" s="1" t="s">
        <v>39</v>
      </c>
      <c r="G287" s="1" t="s">
        <v>283</v>
      </c>
      <c r="H287" s="1">
        <v>6</v>
      </c>
      <c r="I287" s="1">
        <v>1</v>
      </c>
      <c r="J287" s="1" t="e">
        <f>VLOOKUP(A287,'Leghe Fantacalcio'!A:I,1,FALSE)</f>
        <v>#N/A</v>
      </c>
      <c r="K287" s="1" t="e">
        <f>VLOOKUP(B287,'Leghe Fantacalcio'!A:I,1,FALSE)</f>
        <v>#N/A</v>
      </c>
      <c r="L287" s="1" t="str">
        <f>IF(ISNA(VLOOKUP(A287,'Leghe Fantacalcio'!A:I,2,FALSE)),"",VLOOKUP(A287,'Leghe Fantacalcio'!A:I,2,FALSE))</f>
        <v/>
      </c>
      <c r="M287" s="1" t="str">
        <f>IF(ISNA(VLOOKUP(B287,'Leghe Fantacalcio'!A:I,2,FALSE)),"",VLOOKUP(B287,'Leghe Fantacalcio'!A:I,2,FALSE))</f>
        <v/>
      </c>
      <c r="N287" s="1" t="str">
        <f t="shared" si="18"/>
        <v/>
      </c>
      <c r="O287" s="1">
        <f>IFERROR(VLOOKUP(N287,'Leghe Fantacalcio'!B:I,8,FALSE),0)</f>
        <v>0</v>
      </c>
      <c r="P287" s="1" t="str">
        <f t="shared" si="19"/>
        <v>update giocatori set fvm = 0 where id = 1110547;</v>
      </c>
    </row>
    <row r="288" spans="1:16" x14ac:dyDescent="0.25">
      <c r="A288" s="1" t="str">
        <f t="shared" si="16"/>
        <v>GalloLecce</v>
      </c>
      <c r="B288" s="1" t="str">
        <f t="shared" si="17"/>
        <v>Gallo A.Lecce</v>
      </c>
      <c r="C288" s="1">
        <v>1069407</v>
      </c>
      <c r="D288" s="1" t="s">
        <v>166</v>
      </c>
      <c r="E288" s="1" t="s">
        <v>584</v>
      </c>
      <c r="F288" s="1" t="s">
        <v>39</v>
      </c>
      <c r="G288" s="1" t="s">
        <v>92</v>
      </c>
      <c r="H288" s="1">
        <v>6</v>
      </c>
      <c r="I288" s="1">
        <v>12</v>
      </c>
      <c r="J288" s="1" t="str">
        <f>VLOOKUP(A288,'Leghe Fantacalcio'!A:I,1,FALSE)</f>
        <v>GalloLecce</v>
      </c>
      <c r="K288" s="1" t="e">
        <f>VLOOKUP(B288,'Leghe Fantacalcio'!A:I,1,FALSE)</f>
        <v>#N/A</v>
      </c>
      <c r="L288" s="1">
        <f>IF(ISNA(VLOOKUP(A288,'Leghe Fantacalcio'!A:I,2,FALSE)),"",VLOOKUP(A288,'Leghe Fantacalcio'!A:I,2,FALSE))</f>
        <v>4502</v>
      </c>
      <c r="M288" s="1" t="str">
        <f>IF(ISNA(VLOOKUP(B288,'Leghe Fantacalcio'!A:I,2,FALSE)),"",VLOOKUP(B288,'Leghe Fantacalcio'!A:I,2,FALSE))</f>
        <v/>
      </c>
      <c r="N288" s="1">
        <f t="shared" si="18"/>
        <v>4502</v>
      </c>
      <c r="O288" s="1">
        <f>IFERROR(VLOOKUP(N288,'Leghe Fantacalcio'!B:I,8,FALSE),0)</f>
        <v>12</v>
      </c>
      <c r="P288" s="1" t="str">
        <f t="shared" si="19"/>
        <v>update giocatori set fvm = 12 where id = 1069407;</v>
      </c>
    </row>
    <row r="289" spans="1:16" x14ac:dyDescent="0.25">
      <c r="A289" s="1" t="str">
        <f t="shared" si="16"/>
        <v>GandelmanLecce</v>
      </c>
      <c r="B289" s="1" t="str">
        <f t="shared" si="17"/>
        <v>Gandelman O.Lecce</v>
      </c>
      <c r="C289" s="1">
        <v>1120276</v>
      </c>
      <c r="D289" s="1" t="s">
        <v>424</v>
      </c>
      <c r="E289" s="1" t="s">
        <v>577</v>
      </c>
      <c r="F289" s="1" t="s">
        <v>39</v>
      </c>
      <c r="G289" s="1" t="s">
        <v>283</v>
      </c>
      <c r="H289" s="1">
        <v>6</v>
      </c>
      <c r="I289" s="1">
        <v>13</v>
      </c>
      <c r="J289" s="1" t="str">
        <f>VLOOKUP(A289,'Leghe Fantacalcio'!A:I,1,FALSE)</f>
        <v>GandelmanLecce</v>
      </c>
      <c r="K289" s="1" t="e">
        <f>VLOOKUP(B289,'Leghe Fantacalcio'!A:I,1,FALSE)</f>
        <v>#N/A</v>
      </c>
      <c r="L289" s="1">
        <f>IF(ISNA(VLOOKUP(A289,'Leghe Fantacalcio'!A:I,2,FALSE)),"",VLOOKUP(A289,'Leghe Fantacalcio'!A:I,2,FALSE))</f>
        <v>7318</v>
      </c>
      <c r="M289" s="1" t="str">
        <f>IF(ISNA(VLOOKUP(B289,'Leghe Fantacalcio'!A:I,2,FALSE)),"",VLOOKUP(B289,'Leghe Fantacalcio'!A:I,2,FALSE))</f>
        <v/>
      </c>
      <c r="N289" s="1">
        <f t="shared" si="18"/>
        <v>7318</v>
      </c>
      <c r="O289" s="1">
        <f>IFERROR(VLOOKUP(N289,'Leghe Fantacalcio'!B:I,8,FALSE),0)</f>
        <v>10</v>
      </c>
      <c r="P289" s="1" t="str">
        <f t="shared" si="19"/>
        <v>update giocatori set fvm = 10 where id = 1120276;</v>
      </c>
    </row>
    <row r="290" spans="1:16" x14ac:dyDescent="0.25">
      <c r="A290" s="1" t="str">
        <f t="shared" si="16"/>
        <v>GeubbelsLecce</v>
      </c>
      <c r="B290" s="1" t="str">
        <f t="shared" si="17"/>
        <v>Geubbels W.Lecce</v>
      </c>
      <c r="C290" s="1">
        <v>1095276</v>
      </c>
      <c r="D290" s="1" t="s">
        <v>530</v>
      </c>
      <c r="E290" s="1" t="s">
        <v>582</v>
      </c>
      <c r="F290" s="1" t="s">
        <v>39</v>
      </c>
      <c r="G290" s="1" t="s">
        <v>478</v>
      </c>
      <c r="H290" s="1">
        <v>6</v>
      </c>
      <c r="I290" s="1">
        <v>13</v>
      </c>
      <c r="J290" s="1" t="str">
        <f>VLOOKUP(A290,'Leghe Fantacalcio'!A:I,1,FALSE)</f>
        <v>GeubbelsLecce</v>
      </c>
      <c r="K290" s="1" t="e">
        <f>VLOOKUP(B290,'Leghe Fantacalcio'!A:I,1,FALSE)</f>
        <v>#N/A</v>
      </c>
      <c r="L290" s="1">
        <f>IF(ISNA(VLOOKUP(A290,'Leghe Fantacalcio'!A:I,2,FALSE)),"",VLOOKUP(A290,'Leghe Fantacalcio'!A:I,2,FALSE))</f>
        <v>5029</v>
      </c>
      <c r="M290" s="1" t="str">
        <f>IF(ISNA(VLOOKUP(B290,'Leghe Fantacalcio'!A:I,2,FALSE)),"",VLOOKUP(B290,'Leghe Fantacalcio'!A:I,2,FALSE))</f>
        <v/>
      </c>
      <c r="N290" s="1">
        <f t="shared" si="18"/>
        <v>5029</v>
      </c>
      <c r="O290" s="1">
        <f>IFERROR(VLOOKUP(N290,'Leghe Fantacalcio'!B:I,8,FALSE),0)</f>
        <v>15</v>
      </c>
      <c r="P290" s="1" t="str">
        <f t="shared" si="19"/>
        <v>update giocatori set fvm = 15 where id = 1095276;</v>
      </c>
    </row>
    <row r="291" spans="1:16" x14ac:dyDescent="0.25">
      <c r="A291" s="1" t="str">
        <f t="shared" si="16"/>
        <v>GorterLecce</v>
      </c>
      <c r="B291" s="1" t="str">
        <f t="shared" si="17"/>
        <v>Gorter O.Lecce</v>
      </c>
      <c r="C291" s="1">
        <v>1120111</v>
      </c>
      <c r="D291" s="1" t="s">
        <v>438</v>
      </c>
      <c r="E291" s="1" t="s">
        <v>577</v>
      </c>
      <c r="F291" s="1" t="s">
        <v>39</v>
      </c>
      <c r="G291" s="1" t="s">
        <v>283</v>
      </c>
      <c r="H291" s="1">
        <v>6</v>
      </c>
      <c r="I291" s="1">
        <v>2</v>
      </c>
      <c r="J291" s="1" t="str">
        <f>VLOOKUP(A291,'Leghe Fantacalcio'!A:I,1,FALSE)</f>
        <v>GorterLecce</v>
      </c>
      <c r="K291" s="1" t="e">
        <f>VLOOKUP(B291,'Leghe Fantacalcio'!A:I,1,FALSE)</f>
        <v>#N/A</v>
      </c>
      <c r="L291" s="1">
        <f>IF(ISNA(VLOOKUP(A291,'Leghe Fantacalcio'!A:I,2,FALSE)),"",VLOOKUP(A291,'Leghe Fantacalcio'!A:I,2,FALSE))</f>
        <v>7248</v>
      </c>
      <c r="M291" s="1" t="str">
        <f>IF(ISNA(VLOOKUP(B291,'Leghe Fantacalcio'!A:I,2,FALSE)),"",VLOOKUP(B291,'Leghe Fantacalcio'!A:I,2,FALSE))</f>
        <v/>
      </c>
      <c r="N291" s="1">
        <f t="shared" si="18"/>
        <v>7248</v>
      </c>
      <c r="O291" s="1">
        <f>IFERROR(VLOOKUP(N291,'Leghe Fantacalcio'!B:I,8,FALSE),0)</f>
        <v>12</v>
      </c>
      <c r="P291" s="1" t="str">
        <f t="shared" si="19"/>
        <v>update giocatori set fvm = 12 where id = 1120111;</v>
      </c>
    </row>
    <row r="292" spans="1:16" x14ac:dyDescent="0.25">
      <c r="A292" s="1" t="str">
        <f t="shared" si="16"/>
        <v>IlicLecce</v>
      </c>
      <c r="B292" s="1" t="str">
        <f t="shared" si="17"/>
        <v>Ilic I.Lecce</v>
      </c>
      <c r="C292" s="1">
        <v>1100764</v>
      </c>
      <c r="D292" s="1" t="s">
        <v>430</v>
      </c>
      <c r="E292" s="1" t="s">
        <v>600</v>
      </c>
      <c r="F292" s="1" t="s">
        <v>39</v>
      </c>
      <c r="G292" s="1" t="s">
        <v>283</v>
      </c>
      <c r="H292" s="1">
        <v>6</v>
      </c>
      <c r="I292" s="1">
        <v>14</v>
      </c>
      <c r="J292" s="1" t="str">
        <f>VLOOKUP(A292,'Leghe Fantacalcio'!A:I,1,FALSE)</f>
        <v>IlicLecce</v>
      </c>
      <c r="K292" s="1" t="e">
        <f>VLOOKUP(B292,'Leghe Fantacalcio'!A:I,1,FALSE)</f>
        <v>#N/A</v>
      </c>
      <c r="L292" s="1">
        <f>IF(ISNA(VLOOKUP(A292,'Leghe Fantacalcio'!A:I,2,FALSE)),"",VLOOKUP(A292,'Leghe Fantacalcio'!A:I,2,FALSE))</f>
        <v>5007</v>
      </c>
      <c r="M292" s="1" t="str">
        <f>IF(ISNA(VLOOKUP(B292,'Leghe Fantacalcio'!A:I,2,FALSE)),"",VLOOKUP(B292,'Leghe Fantacalcio'!A:I,2,FALSE))</f>
        <v/>
      </c>
      <c r="N292" s="1">
        <f t="shared" si="18"/>
        <v>5007</v>
      </c>
      <c r="O292" s="1">
        <f>IFERROR(VLOOKUP(N292,'Leghe Fantacalcio'!B:I,8,FALSE),0)</f>
        <v>13</v>
      </c>
      <c r="P292" s="1" t="str">
        <f t="shared" si="19"/>
        <v>update giocatori set fvm = 13 where id = 1100764;</v>
      </c>
    </row>
    <row r="293" spans="1:16" x14ac:dyDescent="0.25">
      <c r="A293" s="1" t="str">
        <f t="shared" si="16"/>
        <v>JeanLecce</v>
      </c>
      <c r="B293" s="1" t="str">
        <f t="shared" si="17"/>
        <v>Jean G.Lecce</v>
      </c>
      <c r="C293" s="1">
        <v>1119761</v>
      </c>
      <c r="D293" s="1" t="s">
        <v>265</v>
      </c>
      <c r="E293" s="1" t="s">
        <v>575</v>
      </c>
      <c r="F293" s="1" t="s">
        <v>39</v>
      </c>
      <c r="G293" s="1" t="s">
        <v>92</v>
      </c>
      <c r="H293" s="1">
        <v>6</v>
      </c>
      <c r="I293" s="1">
        <v>1</v>
      </c>
      <c r="J293" s="1" t="str">
        <f>VLOOKUP(A293,'Leghe Fantacalcio'!A:I,1,FALSE)</f>
        <v>JeanLecce</v>
      </c>
      <c r="K293" s="1" t="e">
        <f>VLOOKUP(B293,'Leghe Fantacalcio'!A:I,1,FALSE)</f>
        <v>#N/A</v>
      </c>
      <c r="L293" s="1">
        <f>IF(ISNA(VLOOKUP(A293,'Leghe Fantacalcio'!A:I,2,FALSE)),"",VLOOKUP(A293,'Leghe Fantacalcio'!A:I,2,FALSE))</f>
        <v>6883</v>
      </c>
      <c r="M293" s="1" t="str">
        <f>IF(ISNA(VLOOKUP(B293,'Leghe Fantacalcio'!A:I,2,FALSE)),"",VLOOKUP(B293,'Leghe Fantacalcio'!A:I,2,FALSE))</f>
        <v/>
      </c>
      <c r="N293" s="1">
        <f t="shared" si="18"/>
        <v>6883</v>
      </c>
      <c r="O293" s="1">
        <f>IFERROR(VLOOKUP(N293,'Leghe Fantacalcio'!B:I,8,FALSE),0)</f>
        <v>4</v>
      </c>
      <c r="P293" s="1" t="str">
        <f t="shared" si="19"/>
        <v>update giocatori set fvm = 4 where id = 1119761;</v>
      </c>
    </row>
    <row r="294" spans="1:16" x14ac:dyDescent="0.25">
      <c r="A294" s="1" t="str">
        <f t="shared" si="16"/>
        <v>KabaLecce</v>
      </c>
      <c r="B294" s="1" t="str">
        <f t="shared" si="17"/>
        <v>Kaba M.Lecce</v>
      </c>
      <c r="C294" s="1">
        <v>1118183</v>
      </c>
      <c r="D294" s="1" t="s">
        <v>451</v>
      </c>
      <c r="E294" s="1" t="s">
        <v>572</v>
      </c>
      <c r="F294" s="1" t="s">
        <v>39</v>
      </c>
      <c r="G294" s="1" t="s">
        <v>283</v>
      </c>
      <c r="H294" s="1">
        <v>6</v>
      </c>
      <c r="I294" s="1">
        <v>5</v>
      </c>
      <c r="J294" s="1" t="str">
        <f>VLOOKUP(A294,'Leghe Fantacalcio'!A:I,1,FALSE)</f>
        <v>KabaLecce</v>
      </c>
      <c r="K294" s="1" t="e">
        <f>VLOOKUP(B294,'Leghe Fantacalcio'!A:I,1,FALSE)</f>
        <v>#N/A</v>
      </c>
      <c r="L294" s="1">
        <f>IF(ISNA(VLOOKUP(A294,'Leghe Fantacalcio'!A:I,2,FALSE)),"",VLOOKUP(A294,'Leghe Fantacalcio'!A:I,2,FALSE))</f>
        <v>6410</v>
      </c>
      <c r="M294" s="1" t="str">
        <f>IF(ISNA(VLOOKUP(B294,'Leghe Fantacalcio'!A:I,2,FALSE)),"",VLOOKUP(B294,'Leghe Fantacalcio'!A:I,2,FALSE))</f>
        <v/>
      </c>
      <c r="N294" s="1">
        <f t="shared" si="18"/>
        <v>6410</v>
      </c>
      <c r="O294" s="1">
        <f>IFERROR(VLOOKUP(N294,'Leghe Fantacalcio'!B:I,8,FALSE),0)</f>
        <v>2</v>
      </c>
      <c r="P294" s="1" t="str">
        <f t="shared" si="19"/>
        <v>update giocatori set fvm = 2 where id = 1118183;</v>
      </c>
    </row>
    <row r="295" spans="1:16" ht="14.5" x14ac:dyDescent="0.35">
      <c r="A295" s="1" t="str">
        <f t="shared" si="16"/>
        <v>Gaspar K.Lecce</v>
      </c>
      <c r="B295" s="1" t="str">
        <f t="shared" si="17"/>
        <v>Gaspar K. Lecce</v>
      </c>
      <c r="C295" s="1">
        <v>1119711</v>
      </c>
      <c r="D295" t="s">
        <v>205</v>
      </c>
      <c r="E295" s="1" t="s">
        <v>579</v>
      </c>
      <c r="F295" s="1" t="s">
        <v>39</v>
      </c>
      <c r="G295" s="1" t="s">
        <v>92</v>
      </c>
      <c r="H295" s="1">
        <v>6</v>
      </c>
      <c r="I295" s="1">
        <v>3</v>
      </c>
      <c r="J295" s="1" t="str">
        <f>VLOOKUP(A295,'Leghe Fantacalcio'!A:I,1,FALSE)</f>
        <v>Gaspar K.Lecce</v>
      </c>
      <c r="K295" s="1" t="e">
        <f>VLOOKUP(B295,'Leghe Fantacalcio'!A:I,1,FALSE)</f>
        <v>#N/A</v>
      </c>
      <c r="L295" s="1">
        <f>IF(ISNA(VLOOKUP(A295,'Leghe Fantacalcio'!A:I,2,FALSE)),"",VLOOKUP(A295,'Leghe Fantacalcio'!A:I,2,FALSE))</f>
        <v>6632</v>
      </c>
      <c r="M295" s="1" t="str">
        <f>IF(ISNA(VLOOKUP(B295,'Leghe Fantacalcio'!A:I,2,FALSE)),"",VLOOKUP(B295,'Leghe Fantacalcio'!A:I,2,FALSE))</f>
        <v/>
      </c>
      <c r="N295" s="1">
        <f t="shared" si="18"/>
        <v>6632</v>
      </c>
      <c r="O295" s="1">
        <f>IFERROR(VLOOKUP(N295,'Leghe Fantacalcio'!B:I,8,FALSE),0)</f>
        <v>12</v>
      </c>
      <c r="P295" s="1" t="str">
        <f t="shared" si="19"/>
        <v>update giocatori set fvm = 12 where id = 1119711;</v>
      </c>
    </row>
    <row r="296" spans="1:16" x14ac:dyDescent="0.25">
      <c r="A296" s="1" t="str">
        <f t="shared" si="16"/>
        <v>KovacLecce</v>
      </c>
      <c r="B296" s="1" t="str">
        <f t="shared" si="17"/>
        <v>Kovac N.Lecce</v>
      </c>
      <c r="C296" s="1">
        <v>1120112</v>
      </c>
      <c r="D296" s="1" t="s">
        <v>651</v>
      </c>
      <c r="E296" s="1" t="s">
        <v>578</v>
      </c>
      <c r="F296" s="1" t="s">
        <v>39</v>
      </c>
      <c r="G296" s="1" t="s">
        <v>283</v>
      </c>
      <c r="H296" s="1">
        <v>6</v>
      </c>
      <c r="I296" s="1">
        <v>1</v>
      </c>
      <c r="J296" s="1" t="e">
        <f>VLOOKUP(A296,'Leghe Fantacalcio'!A:I,1,FALSE)</f>
        <v>#N/A</v>
      </c>
      <c r="K296" s="1" t="e">
        <f>VLOOKUP(B296,'Leghe Fantacalcio'!A:I,1,FALSE)</f>
        <v>#N/A</v>
      </c>
      <c r="L296" s="1" t="str">
        <f>IF(ISNA(VLOOKUP(A296,'Leghe Fantacalcio'!A:I,2,FALSE)),"",VLOOKUP(A296,'Leghe Fantacalcio'!A:I,2,FALSE))</f>
        <v/>
      </c>
      <c r="M296" s="1" t="str">
        <f>IF(ISNA(VLOOKUP(B296,'Leghe Fantacalcio'!A:I,2,FALSE)),"",VLOOKUP(B296,'Leghe Fantacalcio'!A:I,2,FALSE))</f>
        <v/>
      </c>
      <c r="N296" s="1" t="str">
        <f t="shared" si="18"/>
        <v/>
      </c>
      <c r="O296" s="1">
        <f>IFERROR(VLOOKUP(N296,'Leghe Fantacalcio'!B:I,8,FALSE),0)</f>
        <v>0</v>
      </c>
      <c r="P296" s="1" t="str">
        <f t="shared" si="19"/>
        <v>update giocatori set fvm = 0 where id = 1120112;</v>
      </c>
    </row>
    <row r="297" spans="1:16" x14ac:dyDescent="0.25">
      <c r="A297" s="1" t="str">
        <f t="shared" si="16"/>
        <v>LaerkeLecce</v>
      </c>
      <c r="B297" s="1" t="str">
        <f t="shared" si="17"/>
        <v>Laerke H.Lecce</v>
      </c>
      <c r="C297" s="1">
        <v>1120533</v>
      </c>
      <c r="D297" s="1" t="s">
        <v>471</v>
      </c>
      <c r="E297" s="1" t="s">
        <v>620</v>
      </c>
      <c r="F297" s="1" t="s">
        <v>39</v>
      </c>
      <c r="G297" s="1" t="s">
        <v>478</v>
      </c>
      <c r="H297" s="1">
        <v>6</v>
      </c>
      <c r="I297" s="1">
        <v>1</v>
      </c>
      <c r="J297" s="1" t="str">
        <f>VLOOKUP(A297,'Leghe Fantacalcio'!A:I,1,FALSE)</f>
        <v>LaerkeLecce</v>
      </c>
      <c r="K297" s="1" t="e">
        <f>VLOOKUP(B297,'Leghe Fantacalcio'!A:I,1,FALSE)</f>
        <v>#N/A</v>
      </c>
      <c r="L297" s="1">
        <f>IF(ISNA(VLOOKUP(A297,'Leghe Fantacalcio'!A:I,2,FALSE)),"",VLOOKUP(A297,'Leghe Fantacalcio'!A:I,2,FALSE))</f>
        <v>7571</v>
      </c>
      <c r="M297" s="1" t="str">
        <f>IF(ISNA(VLOOKUP(B297,'Leghe Fantacalcio'!A:I,2,FALSE)),"",VLOOKUP(B297,'Leghe Fantacalcio'!A:I,2,FALSE))</f>
        <v/>
      </c>
      <c r="N297" s="1">
        <f t="shared" si="18"/>
        <v>7571</v>
      </c>
      <c r="O297" s="1">
        <f>IFERROR(VLOOKUP(N297,'Leghe Fantacalcio'!B:I,8,FALSE),0)</f>
        <v>1</v>
      </c>
      <c r="P297" s="1" t="str">
        <f t="shared" si="19"/>
        <v>update giocatori set fvm = 1 where id = 1120533;</v>
      </c>
    </row>
    <row r="298" spans="1:16" x14ac:dyDescent="0.25">
      <c r="A298" s="1" t="str">
        <f t="shared" si="16"/>
        <v>LupoLecce</v>
      </c>
      <c r="B298" s="1" t="str">
        <f t="shared" si="17"/>
        <v>Lupo C.Lecce</v>
      </c>
      <c r="C298" s="1">
        <v>1120532</v>
      </c>
      <c r="D298" s="1" t="s">
        <v>591</v>
      </c>
      <c r="E298" s="1" t="s">
        <v>592</v>
      </c>
      <c r="F298" s="1" t="s">
        <v>39</v>
      </c>
      <c r="G298" s="1" t="s">
        <v>8</v>
      </c>
      <c r="H298" s="1">
        <v>6</v>
      </c>
      <c r="I298" s="1">
        <v>1</v>
      </c>
      <c r="J298" s="1" t="e">
        <f>VLOOKUP(A298,'Leghe Fantacalcio'!A:I,1,FALSE)</f>
        <v>#N/A</v>
      </c>
      <c r="K298" s="1" t="e">
        <f>VLOOKUP(B298,'Leghe Fantacalcio'!A:I,1,FALSE)</f>
        <v>#N/A</v>
      </c>
      <c r="L298" s="1" t="str">
        <f>IF(ISNA(VLOOKUP(A298,'Leghe Fantacalcio'!A:I,2,FALSE)),"",VLOOKUP(A298,'Leghe Fantacalcio'!A:I,2,FALSE))</f>
        <v/>
      </c>
      <c r="M298" s="1" t="str">
        <f>IF(ISNA(VLOOKUP(B298,'Leghe Fantacalcio'!A:I,2,FALSE)),"",VLOOKUP(B298,'Leghe Fantacalcio'!A:I,2,FALSE))</f>
        <v/>
      </c>
      <c r="N298" s="1" t="str">
        <f t="shared" si="18"/>
        <v/>
      </c>
      <c r="O298" s="1">
        <f>IFERROR(VLOOKUP(N298,'Leghe Fantacalcio'!B:I,8,FALSE),0)</f>
        <v>0</v>
      </c>
      <c r="P298" s="1" t="str">
        <f t="shared" si="19"/>
        <v>update giocatori set fvm = 0 where id = 1120532;</v>
      </c>
    </row>
    <row r="299" spans="1:16" x14ac:dyDescent="0.25">
      <c r="A299" s="1" t="str">
        <f t="shared" si="16"/>
        <v>MalehLecce</v>
      </c>
      <c r="B299" s="1" t="str">
        <f t="shared" si="17"/>
        <v>Maleh Y.Lecce</v>
      </c>
      <c r="C299" s="1">
        <v>1060933</v>
      </c>
      <c r="D299" s="1" t="s">
        <v>421</v>
      </c>
      <c r="E299" s="1" t="s">
        <v>606</v>
      </c>
      <c r="F299" s="1" t="s">
        <v>39</v>
      </c>
      <c r="G299" s="1" t="s">
        <v>283</v>
      </c>
      <c r="H299" s="1">
        <v>6</v>
      </c>
      <c r="I299" s="1">
        <v>9</v>
      </c>
      <c r="J299" s="1" t="str">
        <f>VLOOKUP(A299,'Leghe Fantacalcio'!A:I,1,FALSE)</f>
        <v>MalehLecce</v>
      </c>
      <c r="K299" s="1" t="e">
        <f>VLOOKUP(B299,'Leghe Fantacalcio'!A:I,1,FALSE)</f>
        <v>#N/A</v>
      </c>
      <c r="L299" s="1">
        <f>IF(ISNA(VLOOKUP(A299,'Leghe Fantacalcio'!A:I,2,FALSE)),"",VLOOKUP(A299,'Leghe Fantacalcio'!A:I,2,FALSE))</f>
        <v>5457</v>
      </c>
      <c r="M299" s="1" t="str">
        <f>IF(ISNA(VLOOKUP(B299,'Leghe Fantacalcio'!A:I,2,FALSE)),"",VLOOKUP(B299,'Leghe Fantacalcio'!A:I,2,FALSE))</f>
        <v/>
      </c>
      <c r="N299" s="1">
        <f t="shared" si="18"/>
        <v>5457</v>
      </c>
      <c r="O299" s="1">
        <f>IFERROR(VLOOKUP(N299,'Leghe Fantacalcio'!B:I,8,FALSE),0)</f>
        <v>7</v>
      </c>
      <c r="P299" s="1" t="str">
        <f t="shared" si="19"/>
        <v>update giocatori set fvm = 7 where id = 1060933;</v>
      </c>
    </row>
    <row r="300" spans="1:16" x14ac:dyDescent="0.25">
      <c r="A300" s="1" t="str">
        <f t="shared" si="16"/>
        <v>MonteiroLecce</v>
      </c>
      <c r="B300" s="1" t="str">
        <f t="shared" si="17"/>
        <v>Monteiro J.Lecce</v>
      </c>
      <c r="C300" s="1">
        <v>1110798</v>
      </c>
      <c r="D300" s="1" t="s">
        <v>656</v>
      </c>
      <c r="E300" s="1" t="s">
        <v>571</v>
      </c>
      <c r="F300" s="1" t="s">
        <v>39</v>
      </c>
      <c r="G300" s="1" t="s">
        <v>283</v>
      </c>
      <c r="H300" s="1">
        <v>6</v>
      </c>
      <c r="I300" s="1">
        <v>17</v>
      </c>
      <c r="J300" s="1" t="e">
        <f>VLOOKUP(A300,'Leghe Fantacalcio'!A:I,1,FALSE)</f>
        <v>#N/A</v>
      </c>
      <c r="K300" s="1" t="str">
        <f>VLOOKUP(B300,'Leghe Fantacalcio'!A:I,1,FALSE)</f>
        <v>Monteiro J.Lecce</v>
      </c>
      <c r="L300" s="1" t="str">
        <f>IF(ISNA(VLOOKUP(A300,'Leghe Fantacalcio'!A:I,2,FALSE)),"",VLOOKUP(A300,'Leghe Fantacalcio'!A:I,2,FALSE))</f>
        <v/>
      </c>
      <c r="M300" s="1">
        <f>IF(ISNA(VLOOKUP(B300,'Leghe Fantacalcio'!A:I,2,FALSE)),"",VLOOKUP(B300,'Leghe Fantacalcio'!A:I,2,FALSE))</f>
        <v>7619</v>
      </c>
      <c r="N300" s="1">
        <f t="shared" si="18"/>
        <v>7619</v>
      </c>
      <c r="O300" s="1">
        <f>IFERROR(VLOOKUP(N300,'Leghe Fantacalcio'!B:I,8,FALSE),0)</f>
        <v>20</v>
      </c>
      <c r="P300" s="1" t="str">
        <f t="shared" si="19"/>
        <v>update giocatori set fvm = 20 where id = 1110798;</v>
      </c>
    </row>
    <row r="301" spans="1:16" ht="14.5" x14ac:dyDescent="0.35">
      <c r="A301" s="1" t="str">
        <f t="shared" si="16"/>
        <v>N'DriLecce</v>
      </c>
      <c r="B301" s="1" t="str">
        <f t="shared" si="17"/>
        <v>N'Dri K.Lecce</v>
      </c>
      <c r="C301" s="1">
        <v>1119842</v>
      </c>
      <c r="D301" t="s">
        <v>545</v>
      </c>
      <c r="E301" s="1" t="s">
        <v>586</v>
      </c>
      <c r="F301" s="1" t="s">
        <v>39</v>
      </c>
      <c r="G301" s="1" t="s">
        <v>478</v>
      </c>
      <c r="H301" s="1">
        <v>6</v>
      </c>
      <c r="I301" s="1">
        <v>14</v>
      </c>
      <c r="J301" s="1" t="str">
        <f>VLOOKUP(A301,'Leghe Fantacalcio'!A:I,1,FALSE)</f>
        <v>N'DriLecce</v>
      </c>
      <c r="K301" s="1" t="e">
        <f>VLOOKUP(B301,'Leghe Fantacalcio'!A:I,1,FALSE)</f>
        <v>#N/A</v>
      </c>
      <c r="L301" s="1">
        <f>IF(ISNA(VLOOKUP(A301,'Leghe Fantacalcio'!A:I,2,FALSE)),"",VLOOKUP(A301,'Leghe Fantacalcio'!A:I,2,FALSE))</f>
        <v>7001</v>
      </c>
      <c r="M301" s="1" t="str">
        <f>IF(ISNA(VLOOKUP(B301,'Leghe Fantacalcio'!A:I,2,FALSE)),"",VLOOKUP(B301,'Leghe Fantacalcio'!A:I,2,FALSE))</f>
        <v/>
      </c>
      <c r="N301" s="1">
        <f t="shared" si="18"/>
        <v>7001</v>
      </c>
      <c r="O301" s="1">
        <f>IFERROR(VLOOKUP(N301,'Leghe Fantacalcio'!B:I,8,FALSE),0)</f>
        <v>10</v>
      </c>
      <c r="P301" s="1" t="str">
        <f t="shared" si="19"/>
        <v>update giocatori set fvm = 10 where id = 1119842;</v>
      </c>
    </row>
    <row r="302" spans="1:16" x14ac:dyDescent="0.25">
      <c r="A302" s="1" t="str">
        <f t="shared" si="16"/>
        <v>NdabaLecce</v>
      </c>
      <c r="B302" s="1" t="str">
        <f t="shared" si="17"/>
        <v>Ndaba C.Lecce</v>
      </c>
      <c r="C302" s="1">
        <v>1119948</v>
      </c>
      <c r="D302" s="1" t="s">
        <v>266</v>
      </c>
      <c r="E302" s="1" t="s">
        <v>592</v>
      </c>
      <c r="F302" s="1" t="s">
        <v>39</v>
      </c>
      <c r="G302" s="1" t="s">
        <v>92</v>
      </c>
      <c r="H302" s="1">
        <v>6</v>
      </c>
      <c r="I302" s="1">
        <v>1</v>
      </c>
      <c r="J302" s="1" t="str">
        <f>VLOOKUP(A302,'Leghe Fantacalcio'!A:I,1,FALSE)</f>
        <v>NdabaLecce</v>
      </c>
      <c r="K302" s="1" t="e">
        <f>VLOOKUP(B302,'Leghe Fantacalcio'!A:I,1,FALSE)</f>
        <v>#N/A</v>
      </c>
      <c r="L302" s="1">
        <f>IF(ISNA(VLOOKUP(A302,'Leghe Fantacalcio'!A:I,2,FALSE)),"",VLOOKUP(A302,'Leghe Fantacalcio'!A:I,2,FALSE))</f>
        <v>7182</v>
      </c>
      <c r="M302" s="1" t="str">
        <f>IF(ISNA(VLOOKUP(B302,'Leghe Fantacalcio'!A:I,2,FALSE)),"",VLOOKUP(B302,'Leghe Fantacalcio'!A:I,2,FALSE))</f>
        <v/>
      </c>
      <c r="N302" s="1">
        <f t="shared" si="18"/>
        <v>7182</v>
      </c>
      <c r="O302" s="1">
        <f>IFERROR(VLOOKUP(N302,'Leghe Fantacalcio'!B:I,8,FALSE),0)</f>
        <v>5</v>
      </c>
      <c r="P302" s="1" t="str">
        <f t="shared" si="19"/>
        <v>update giocatori set fvm = 5 where id = 1119948;</v>
      </c>
    </row>
    <row r="303" spans="1:16" x14ac:dyDescent="0.25">
      <c r="A303" s="1" t="str">
        <f t="shared" si="16"/>
        <v>NgomLecce</v>
      </c>
      <c r="B303" s="1" t="str">
        <f t="shared" si="17"/>
        <v>Ngom O.Lecce</v>
      </c>
      <c r="C303" s="1">
        <v>1120280</v>
      </c>
      <c r="D303" s="1" t="s">
        <v>422</v>
      </c>
      <c r="E303" s="1" t="s">
        <v>577</v>
      </c>
      <c r="F303" s="1" t="s">
        <v>39</v>
      </c>
      <c r="G303" s="1" t="s">
        <v>283</v>
      </c>
      <c r="H303" s="1">
        <v>6</v>
      </c>
      <c r="I303" s="1">
        <v>6</v>
      </c>
      <c r="J303" s="1" t="str">
        <f>VLOOKUP(A303,'Leghe Fantacalcio'!A:I,1,FALSE)</f>
        <v>NgomLecce</v>
      </c>
      <c r="K303" s="1" t="e">
        <f>VLOOKUP(B303,'Leghe Fantacalcio'!A:I,1,FALSE)</f>
        <v>#N/A</v>
      </c>
      <c r="L303" s="1">
        <f>IF(ISNA(VLOOKUP(A303,'Leghe Fantacalcio'!A:I,2,FALSE)),"",VLOOKUP(A303,'Leghe Fantacalcio'!A:I,2,FALSE))</f>
        <v>7322</v>
      </c>
      <c r="M303" s="1" t="str">
        <f>IF(ISNA(VLOOKUP(B303,'Leghe Fantacalcio'!A:I,2,FALSE)),"",VLOOKUP(B303,'Leghe Fantacalcio'!A:I,2,FALSE))</f>
        <v/>
      </c>
      <c r="N303" s="1">
        <f t="shared" si="18"/>
        <v>7322</v>
      </c>
      <c r="O303" s="1">
        <f>IFERROR(VLOOKUP(N303,'Leghe Fantacalcio'!B:I,8,FALSE),0)</f>
        <v>12</v>
      </c>
      <c r="P303" s="1" t="str">
        <f t="shared" si="19"/>
        <v>update giocatori set fvm = 12 where id = 1120280;</v>
      </c>
    </row>
    <row r="304" spans="1:16" x14ac:dyDescent="0.25">
      <c r="A304" s="1" t="str">
        <f t="shared" si="16"/>
        <v>PenevLecce</v>
      </c>
      <c r="B304" s="1" t="str">
        <f t="shared" si="17"/>
        <v>Penev P.Lecce</v>
      </c>
      <c r="C304" s="1">
        <v>1120122</v>
      </c>
      <c r="D304" s="1" t="s">
        <v>83</v>
      </c>
      <c r="E304" s="1" t="s">
        <v>585</v>
      </c>
      <c r="F304" s="1" t="s">
        <v>39</v>
      </c>
      <c r="G304" s="1" t="s">
        <v>8</v>
      </c>
      <c r="H304" s="1">
        <v>6</v>
      </c>
      <c r="I304" s="1">
        <v>1</v>
      </c>
      <c r="J304" s="1" t="str">
        <f>VLOOKUP(A304,'Leghe Fantacalcio'!A:I,1,FALSE)</f>
        <v>PenevLecce</v>
      </c>
      <c r="K304" s="1" t="e">
        <f>VLOOKUP(B304,'Leghe Fantacalcio'!A:I,1,FALSE)</f>
        <v>#N/A</v>
      </c>
      <c r="L304" s="1">
        <f>IF(ISNA(VLOOKUP(A304,'Leghe Fantacalcio'!A:I,2,FALSE)),"",VLOOKUP(A304,'Leghe Fantacalcio'!A:I,2,FALSE))</f>
        <v>7557</v>
      </c>
      <c r="M304" s="1" t="str">
        <f>IF(ISNA(VLOOKUP(B304,'Leghe Fantacalcio'!A:I,2,FALSE)),"",VLOOKUP(B304,'Leghe Fantacalcio'!A:I,2,FALSE))</f>
        <v/>
      </c>
      <c r="N304" s="1">
        <f t="shared" si="18"/>
        <v>7557</v>
      </c>
      <c r="O304" s="1">
        <f>IFERROR(VLOOKUP(N304,'Leghe Fantacalcio'!B:I,8,FALSE),0)</f>
        <v>1</v>
      </c>
      <c r="P304" s="1" t="str">
        <f t="shared" si="19"/>
        <v>update giocatori set fvm = 1 where id = 1120122;</v>
      </c>
    </row>
    <row r="305" spans="1:16" x14ac:dyDescent="0.25">
      <c r="A305" s="1" t="str">
        <f t="shared" si="16"/>
        <v>PierottiLecce</v>
      </c>
      <c r="B305" s="1" t="str">
        <f t="shared" si="17"/>
        <v>Pierotti S.Lecce</v>
      </c>
      <c r="C305" s="1">
        <v>1118992</v>
      </c>
      <c r="D305" s="1" t="s">
        <v>382</v>
      </c>
      <c r="E305" s="1" t="s">
        <v>580</v>
      </c>
      <c r="F305" s="1" t="s">
        <v>39</v>
      </c>
      <c r="G305" s="1" t="s">
        <v>283</v>
      </c>
      <c r="H305" s="1">
        <v>6</v>
      </c>
      <c r="I305" s="1">
        <v>21</v>
      </c>
      <c r="J305" s="1" t="str">
        <f>VLOOKUP(A305,'Leghe Fantacalcio'!A:I,1,FALSE)</f>
        <v>PierottiLecce</v>
      </c>
      <c r="K305" s="1" t="e">
        <f>VLOOKUP(B305,'Leghe Fantacalcio'!A:I,1,FALSE)</f>
        <v>#N/A</v>
      </c>
      <c r="L305" s="1">
        <f>IF(ISNA(VLOOKUP(A305,'Leghe Fantacalcio'!A:I,2,FALSE)),"",VLOOKUP(A305,'Leghe Fantacalcio'!A:I,2,FALSE))</f>
        <v>6549</v>
      </c>
      <c r="M305" s="1" t="str">
        <f>IF(ISNA(VLOOKUP(B305,'Leghe Fantacalcio'!A:I,2,FALSE)),"",VLOOKUP(B305,'Leghe Fantacalcio'!A:I,2,FALSE))</f>
        <v/>
      </c>
      <c r="N305" s="1">
        <f t="shared" si="18"/>
        <v>6549</v>
      </c>
      <c r="O305" s="1">
        <f>IFERROR(VLOOKUP(N305,'Leghe Fantacalcio'!B:I,8,FALSE),0)</f>
        <v>16</v>
      </c>
      <c r="P305" s="1" t="str">
        <f t="shared" si="19"/>
        <v>update giocatori set fvm = 16 where id = 1118992;</v>
      </c>
    </row>
    <row r="306" spans="1:16" x14ac:dyDescent="0.25">
      <c r="A306" s="1" t="str">
        <f t="shared" si="16"/>
        <v>SiebertLecce</v>
      </c>
      <c r="B306" s="1" t="str">
        <f t="shared" si="17"/>
        <v>Siebert J.Lecce</v>
      </c>
      <c r="C306" s="1">
        <v>1120138</v>
      </c>
      <c r="D306" s="1" t="s">
        <v>206</v>
      </c>
      <c r="E306" s="1" t="s">
        <v>571</v>
      </c>
      <c r="F306" s="1" t="s">
        <v>39</v>
      </c>
      <c r="G306" s="1" t="s">
        <v>92</v>
      </c>
      <c r="H306" s="1">
        <v>6</v>
      </c>
      <c r="I306" s="1">
        <v>3</v>
      </c>
      <c r="J306" s="1" t="str">
        <f>VLOOKUP(A306,'Leghe Fantacalcio'!A:I,1,FALSE)</f>
        <v>SiebertLecce</v>
      </c>
      <c r="K306" s="1" t="e">
        <f>VLOOKUP(B306,'Leghe Fantacalcio'!A:I,1,FALSE)</f>
        <v>#N/A</v>
      </c>
      <c r="L306" s="1">
        <f>IF(ISNA(VLOOKUP(A306,'Leghe Fantacalcio'!A:I,2,FALSE)),"",VLOOKUP(A306,'Leghe Fantacalcio'!A:I,2,FALSE))</f>
        <v>7240</v>
      </c>
      <c r="M306" s="1" t="str">
        <f>IF(ISNA(VLOOKUP(B306,'Leghe Fantacalcio'!A:I,2,FALSE)),"",VLOOKUP(B306,'Leghe Fantacalcio'!A:I,2,FALSE))</f>
        <v/>
      </c>
      <c r="N306" s="1">
        <f t="shared" si="18"/>
        <v>7240</v>
      </c>
      <c r="O306" s="1">
        <f>IFERROR(VLOOKUP(N306,'Leghe Fantacalcio'!B:I,8,FALSE),0)</f>
        <v>12</v>
      </c>
      <c r="P306" s="1" t="str">
        <f t="shared" si="19"/>
        <v>update giocatori set fvm = 12 where id = 1120138;</v>
      </c>
    </row>
    <row r="307" spans="1:16" x14ac:dyDescent="0.25">
      <c r="A307" s="1" t="str">
        <f t="shared" si="16"/>
        <v>StulicLecce</v>
      </c>
      <c r="B307" s="1" t="str">
        <f t="shared" si="17"/>
        <v>Stulic N.Lecce</v>
      </c>
      <c r="C307" s="1">
        <v>1097629</v>
      </c>
      <c r="D307" s="1" t="s">
        <v>535</v>
      </c>
      <c r="E307" s="1" t="s">
        <v>578</v>
      </c>
      <c r="F307" s="1" t="s">
        <v>39</v>
      </c>
      <c r="G307" s="1" t="s">
        <v>478</v>
      </c>
      <c r="H307" s="1">
        <v>6</v>
      </c>
      <c r="I307" s="1">
        <v>22</v>
      </c>
      <c r="J307" s="1" t="str">
        <f>VLOOKUP(A307,'Leghe Fantacalcio'!A:I,1,FALSE)</f>
        <v>StulicLecce</v>
      </c>
      <c r="K307" s="1" t="e">
        <f>VLOOKUP(B307,'Leghe Fantacalcio'!A:I,1,FALSE)</f>
        <v>#N/A</v>
      </c>
      <c r="L307" s="1">
        <f>IF(ISNA(VLOOKUP(A307,'Leghe Fantacalcio'!A:I,2,FALSE)),"",VLOOKUP(A307,'Leghe Fantacalcio'!A:I,2,FALSE))</f>
        <v>7252</v>
      </c>
      <c r="M307" s="1" t="str">
        <f>IF(ISNA(VLOOKUP(B307,'Leghe Fantacalcio'!A:I,2,FALSE)),"",VLOOKUP(B307,'Leghe Fantacalcio'!A:I,2,FALSE))</f>
        <v/>
      </c>
      <c r="N307" s="1">
        <f t="shared" si="18"/>
        <v>7252</v>
      </c>
      <c r="O307" s="1">
        <f>IFERROR(VLOOKUP(N307,'Leghe Fantacalcio'!B:I,8,FALSE),0)</f>
        <v>11</v>
      </c>
      <c r="P307" s="1" t="str">
        <f t="shared" si="19"/>
        <v>update giocatori set fvm = 11 where id = 1097629;</v>
      </c>
    </row>
    <row r="308" spans="1:16" x14ac:dyDescent="0.25">
      <c r="A308" s="1" t="str">
        <f t="shared" si="16"/>
        <v>Tiago GabrielLecce</v>
      </c>
      <c r="B308" s="1" t="str">
        <f t="shared" si="17"/>
        <v>Tiago Gabriel Lecce</v>
      </c>
      <c r="C308" s="1">
        <v>1119838</v>
      </c>
      <c r="D308" s="1" t="s">
        <v>125</v>
      </c>
      <c r="E308" s="1" t="s">
        <v>579</v>
      </c>
      <c r="F308" s="1" t="s">
        <v>39</v>
      </c>
      <c r="G308" s="1" t="s">
        <v>92</v>
      </c>
      <c r="H308" s="1">
        <v>6</v>
      </c>
      <c r="I308" s="1">
        <v>12</v>
      </c>
      <c r="J308" s="1" t="str">
        <f>VLOOKUP(A308,'Leghe Fantacalcio'!A:I,1,FALSE)</f>
        <v>Tiago GabrielLecce</v>
      </c>
      <c r="K308" s="1" t="e">
        <f>VLOOKUP(B308,'Leghe Fantacalcio'!A:I,1,FALSE)</f>
        <v>#N/A</v>
      </c>
      <c r="L308" s="1">
        <f>IF(ISNA(VLOOKUP(A308,'Leghe Fantacalcio'!A:I,2,FALSE)),"",VLOOKUP(A308,'Leghe Fantacalcio'!A:I,2,FALSE))</f>
        <v>6989</v>
      </c>
      <c r="M308" s="1" t="str">
        <f>IF(ISNA(VLOOKUP(B308,'Leghe Fantacalcio'!A:I,2,FALSE)),"",VLOOKUP(B308,'Leghe Fantacalcio'!A:I,2,FALSE))</f>
        <v/>
      </c>
      <c r="N308" s="1">
        <f t="shared" si="18"/>
        <v>6989</v>
      </c>
      <c r="O308" s="1">
        <f>IFERROR(VLOOKUP(N308,'Leghe Fantacalcio'!B:I,8,FALSE),0)</f>
        <v>22</v>
      </c>
      <c r="P308" s="1" t="str">
        <f t="shared" si="19"/>
        <v>update giocatori set fvm = 22 where id = 1119838;</v>
      </c>
    </row>
    <row r="309" spans="1:16" x14ac:dyDescent="0.25">
      <c r="A309" s="1" t="str">
        <f t="shared" si="16"/>
        <v>UbaniLecce</v>
      </c>
      <c r="B309" s="1" t="str">
        <f t="shared" si="17"/>
        <v>Ubani M.Lecce</v>
      </c>
      <c r="C309" s="1">
        <v>1120534</v>
      </c>
      <c r="D309" s="1" t="s">
        <v>635</v>
      </c>
      <c r="E309" s="1" t="s">
        <v>572</v>
      </c>
      <c r="F309" s="1" t="s">
        <v>39</v>
      </c>
      <c r="G309" s="1" t="s">
        <v>92</v>
      </c>
      <c r="H309" s="1">
        <v>6</v>
      </c>
      <c r="I309" s="1">
        <v>1</v>
      </c>
      <c r="J309" s="1" t="e">
        <f>VLOOKUP(A309,'Leghe Fantacalcio'!A:I,1,FALSE)</f>
        <v>#N/A</v>
      </c>
      <c r="K309" s="1" t="e">
        <f>VLOOKUP(B309,'Leghe Fantacalcio'!A:I,1,FALSE)</f>
        <v>#N/A</v>
      </c>
      <c r="L309" s="1" t="str">
        <f>IF(ISNA(VLOOKUP(A309,'Leghe Fantacalcio'!A:I,2,FALSE)),"",VLOOKUP(A309,'Leghe Fantacalcio'!A:I,2,FALSE))</f>
        <v/>
      </c>
      <c r="M309" s="1" t="str">
        <f>IF(ISNA(VLOOKUP(B309,'Leghe Fantacalcio'!A:I,2,FALSE)),"",VLOOKUP(B309,'Leghe Fantacalcio'!A:I,2,FALSE))</f>
        <v/>
      </c>
      <c r="N309" s="1" t="str">
        <f t="shared" si="18"/>
        <v/>
      </c>
      <c r="O309" s="1">
        <f>IFERROR(VLOOKUP(N309,'Leghe Fantacalcio'!B:I,8,FALSE),0)</f>
        <v>0</v>
      </c>
      <c r="P309" s="1" t="str">
        <f t="shared" si="19"/>
        <v>update giocatori set fvm = 0 where id = 1120534;</v>
      </c>
    </row>
    <row r="310" spans="1:16" x14ac:dyDescent="0.25">
      <c r="A310" s="1" t="str">
        <f t="shared" si="16"/>
        <v>BartesaghiMilan</v>
      </c>
      <c r="B310" s="1" t="str">
        <f t="shared" si="17"/>
        <v>Bartesaghi D.Milan</v>
      </c>
      <c r="C310" s="1">
        <v>1118223</v>
      </c>
      <c r="D310" s="1" t="s">
        <v>151</v>
      </c>
      <c r="E310" s="1" t="s">
        <v>593</v>
      </c>
      <c r="F310" s="1" t="s">
        <v>16</v>
      </c>
      <c r="G310" s="1" t="s">
        <v>92</v>
      </c>
      <c r="H310" s="1">
        <v>6</v>
      </c>
      <c r="I310" s="1">
        <v>10</v>
      </c>
      <c r="J310" s="1" t="str">
        <f>VLOOKUP(A310,'Leghe Fantacalcio'!A:I,1,FALSE)</f>
        <v>BartesaghiMilan</v>
      </c>
      <c r="K310" s="1" t="e">
        <f>VLOOKUP(B310,'Leghe Fantacalcio'!A:I,1,FALSE)</f>
        <v>#N/A</v>
      </c>
      <c r="L310" s="1">
        <f>IF(ISNA(VLOOKUP(A310,'Leghe Fantacalcio'!A:I,2,FALSE)),"",VLOOKUP(A310,'Leghe Fantacalcio'!A:I,2,FALSE))</f>
        <v>6496</v>
      </c>
      <c r="M310" s="1" t="str">
        <f>IF(ISNA(VLOOKUP(B310,'Leghe Fantacalcio'!A:I,2,FALSE)),"",VLOOKUP(B310,'Leghe Fantacalcio'!A:I,2,FALSE))</f>
        <v/>
      </c>
      <c r="N310" s="1">
        <f t="shared" si="18"/>
        <v>6496</v>
      </c>
      <c r="O310" s="1">
        <f>IFERROR(VLOOKUP(N310,'Leghe Fantacalcio'!B:I,8,FALSE),0)</f>
        <v>12</v>
      </c>
      <c r="P310" s="1" t="str">
        <f t="shared" si="19"/>
        <v>update giocatori set fvm = 12 where id = 1118223;</v>
      </c>
    </row>
    <row r="311" spans="1:16" x14ac:dyDescent="0.25">
      <c r="A311" s="1" t="str">
        <f t="shared" si="16"/>
        <v>CamardaMilan</v>
      </c>
      <c r="B311" s="1" t="str">
        <f t="shared" si="17"/>
        <v>Camarda F.Milan</v>
      </c>
      <c r="C311" s="1">
        <v>1118749</v>
      </c>
      <c r="D311" s="1" t="s">
        <v>546</v>
      </c>
      <c r="E311" s="1" t="s">
        <v>589</v>
      </c>
      <c r="F311" s="1" t="s">
        <v>16</v>
      </c>
      <c r="G311" s="1" t="s">
        <v>478</v>
      </c>
      <c r="H311" s="1">
        <v>6</v>
      </c>
      <c r="I311" s="1">
        <v>9</v>
      </c>
      <c r="J311" s="1" t="str">
        <f>VLOOKUP(A311,'Leghe Fantacalcio'!A:I,1,FALSE)</f>
        <v>CamardaMilan</v>
      </c>
      <c r="K311" s="1" t="e">
        <f>VLOOKUP(B311,'Leghe Fantacalcio'!A:I,1,FALSE)</f>
        <v>#N/A</v>
      </c>
      <c r="L311" s="1">
        <f>IF(ISNA(VLOOKUP(A311,'Leghe Fantacalcio'!A:I,2,FALSE)),"",VLOOKUP(A311,'Leghe Fantacalcio'!A:I,2,FALSE))</f>
        <v>6519</v>
      </c>
      <c r="M311" s="1" t="str">
        <f>IF(ISNA(VLOOKUP(B311,'Leghe Fantacalcio'!A:I,2,FALSE)),"",VLOOKUP(B311,'Leghe Fantacalcio'!A:I,2,FALSE))</f>
        <v/>
      </c>
      <c r="N311" s="1">
        <f t="shared" si="18"/>
        <v>6519</v>
      </c>
      <c r="O311" s="1">
        <f>IFERROR(VLOOKUP(N311,'Leghe Fantacalcio'!B:I,8,FALSE),0)</f>
        <v>12</v>
      </c>
      <c r="P311" s="1" t="str">
        <f t="shared" si="19"/>
        <v>update giocatori set fvm = 12 where id = 1118749;</v>
      </c>
    </row>
    <row r="312" spans="1:16" x14ac:dyDescent="0.25">
      <c r="A312" s="1" t="str">
        <f t="shared" si="16"/>
        <v>ChukwuezeMilan</v>
      </c>
      <c r="B312" s="1" t="str">
        <f t="shared" si="17"/>
        <v>Chukwueze S.Milan</v>
      </c>
      <c r="C312" s="1">
        <v>1069844</v>
      </c>
      <c r="D312" s="1" t="s">
        <v>334</v>
      </c>
      <c r="E312" s="1" t="s">
        <v>580</v>
      </c>
      <c r="F312" s="1" t="s">
        <v>16</v>
      </c>
      <c r="G312" s="1" t="s">
        <v>283</v>
      </c>
      <c r="H312" s="1">
        <v>6</v>
      </c>
      <c r="I312" s="1">
        <v>24</v>
      </c>
      <c r="J312" s="1" t="str">
        <f>VLOOKUP(A312,'Leghe Fantacalcio'!A:I,1,FALSE)</f>
        <v>ChukwuezeMilan</v>
      </c>
      <c r="K312" s="1" t="e">
        <f>VLOOKUP(B312,'Leghe Fantacalcio'!A:I,1,FALSE)</f>
        <v>#N/A</v>
      </c>
      <c r="L312" s="1">
        <f>IF(ISNA(VLOOKUP(A312,'Leghe Fantacalcio'!A:I,2,FALSE)),"",VLOOKUP(A312,'Leghe Fantacalcio'!A:I,2,FALSE))</f>
        <v>4856</v>
      </c>
      <c r="M312" s="1" t="str">
        <f>IF(ISNA(VLOOKUP(B312,'Leghe Fantacalcio'!A:I,2,FALSE)),"",VLOOKUP(B312,'Leghe Fantacalcio'!A:I,2,FALSE))</f>
        <v/>
      </c>
      <c r="N312" s="1">
        <f t="shared" si="18"/>
        <v>4856</v>
      </c>
      <c r="O312" s="1">
        <f>IFERROR(VLOOKUP(N312,'Leghe Fantacalcio'!B:I,8,FALSE),0)</f>
        <v>23</v>
      </c>
      <c r="P312" s="1" t="str">
        <f t="shared" si="19"/>
        <v>update giocatori set fvm = 23 where id = 1069844;</v>
      </c>
    </row>
    <row r="313" spans="1:16" ht="14.5" x14ac:dyDescent="0.35">
      <c r="A313" s="1" t="str">
        <f t="shared" si="16"/>
        <v>Cissè A.Milan</v>
      </c>
      <c r="B313" s="1" t="str">
        <f t="shared" si="17"/>
        <v>Cissè A. A.Milan</v>
      </c>
      <c r="C313" s="1">
        <v>1116519</v>
      </c>
      <c r="D313" t="s">
        <v>390</v>
      </c>
      <c r="E313" s="1" t="s">
        <v>584</v>
      </c>
      <c r="F313" s="1" t="s">
        <v>16</v>
      </c>
      <c r="G313" s="1" t="s">
        <v>283</v>
      </c>
      <c r="H313" s="1">
        <v>6</v>
      </c>
      <c r="I313" s="1">
        <v>6</v>
      </c>
      <c r="J313" s="1" t="str">
        <f>VLOOKUP(A313,'Leghe Fantacalcio'!A:I,1,FALSE)</f>
        <v>Cissè A.Milan</v>
      </c>
      <c r="K313" s="1" t="e">
        <f>VLOOKUP(B313,'Leghe Fantacalcio'!A:I,1,FALSE)</f>
        <v>#N/A</v>
      </c>
      <c r="L313" s="1">
        <f>IF(ISNA(VLOOKUP(A313,'Leghe Fantacalcio'!A:I,2,FALSE)),"",VLOOKUP(A313,'Leghe Fantacalcio'!A:I,2,FALSE))</f>
        <v>6618</v>
      </c>
      <c r="M313" s="1" t="str">
        <f>IF(ISNA(VLOOKUP(B313,'Leghe Fantacalcio'!A:I,2,FALSE)),"",VLOOKUP(B313,'Leghe Fantacalcio'!A:I,2,FALSE))</f>
        <v/>
      </c>
      <c r="N313" s="1">
        <f t="shared" si="18"/>
        <v>6618</v>
      </c>
      <c r="O313" s="1">
        <f>IFERROR(VLOOKUP(N313,'Leghe Fantacalcio'!B:I,8,FALSE),0)</f>
        <v>34</v>
      </c>
      <c r="P313" s="1" t="str">
        <f t="shared" si="19"/>
        <v>update giocatori set fvm = 34 where id = 1116519;</v>
      </c>
    </row>
    <row r="314" spans="1:16" x14ac:dyDescent="0.25">
      <c r="A314" s="1" t="str">
        <f t="shared" si="16"/>
        <v>ComottoMilan</v>
      </c>
      <c r="B314" s="1" t="str">
        <f t="shared" si="17"/>
        <v>Comotto C.Milan</v>
      </c>
      <c r="C314" s="1">
        <v>1119937</v>
      </c>
      <c r="D314" s="1" t="s">
        <v>472</v>
      </c>
      <c r="E314" s="1" t="s">
        <v>592</v>
      </c>
      <c r="F314" s="1" t="s">
        <v>16</v>
      </c>
      <c r="G314" s="1" t="s">
        <v>283</v>
      </c>
      <c r="H314" s="1">
        <v>6</v>
      </c>
      <c r="I314" s="1">
        <v>1</v>
      </c>
      <c r="J314" s="1" t="str">
        <f>VLOOKUP(A314,'Leghe Fantacalcio'!A:I,1,FALSE)</f>
        <v>ComottoMilan</v>
      </c>
      <c r="K314" s="1" t="e">
        <f>VLOOKUP(B314,'Leghe Fantacalcio'!A:I,1,FALSE)</f>
        <v>#N/A</v>
      </c>
      <c r="L314" s="1">
        <f>IF(ISNA(VLOOKUP(A314,'Leghe Fantacalcio'!A:I,2,FALSE)),"",VLOOKUP(A314,'Leghe Fantacalcio'!A:I,2,FALSE))</f>
        <v>7572</v>
      </c>
      <c r="M314" s="1" t="str">
        <f>IF(ISNA(VLOOKUP(B314,'Leghe Fantacalcio'!A:I,2,FALSE)),"",VLOOKUP(B314,'Leghe Fantacalcio'!A:I,2,FALSE))</f>
        <v/>
      </c>
      <c r="N314" s="1">
        <f t="shared" si="18"/>
        <v>7572</v>
      </c>
      <c r="O314" s="1">
        <f>IFERROR(VLOOKUP(N314,'Leghe Fantacalcio'!B:I,8,FALSE),0)</f>
        <v>1</v>
      </c>
      <c r="P314" s="1" t="str">
        <f t="shared" si="19"/>
        <v>update giocatori set fvm = 1 where id = 1119937;</v>
      </c>
    </row>
    <row r="315" spans="1:16" x14ac:dyDescent="0.25">
      <c r="A315" s="1" t="str">
        <f t="shared" si="16"/>
        <v>De WinterMilan</v>
      </c>
      <c r="B315" s="1" t="str">
        <f t="shared" si="17"/>
        <v>De Winter K.Milan</v>
      </c>
      <c r="C315" s="1">
        <v>1102806</v>
      </c>
      <c r="D315" s="1" t="s">
        <v>168</v>
      </c>
      <c r="E315" s="1" t="s">
        <v>586</v>
      </c>
      <c r="F315" s="1" t="s">
        <v>16</v>
      </c>
      <c r="G315" s="1" t="s">
        <v>92</v>
      </c>
      <c r="H315" s="1">
        <v>6</v>
      </c>
      <c r="I315" s="1">
        <v>9</v>
      </c>
      <c r="J315" s="1" t="str">
        <f>VLOOKUP(A315,'Leghe Fantacalcio'!A:I,1,FALSE)</f>
        <v>De WinterMilan</v>
      </c>
      <c r="K315" s="1" t="e">
        <f>VLOOKUP(B315,'Leghe Fantacalcio'!A:I,1,FALSE)</f>
        <v>#N/A</v>
      </c>
      <c r="L315" s="1">
        <f>IF(ISNA(VLOOKUP(A315,'Leghe Fantacalcio'!A:I,2,FALSE)),"",VLOOKUP(A315,'Leghe Fantacalcio'!A:I,2,FALSE))</f>
        <v>5739</v>
      </c>
      <c r="M315" s="1" t="str">
        <f>IF(ISNA(VLOOKUP(B315,'Leghe Fantacalcio'!A:I,2,FALSE)),"",VLOOKUP(B315,'Leghe Fantacalcio'!A:I,2,FALSE))</f>
        <v/>
      </c>
      <c r="N315" s="1">
        <f t="shared" si="18"/>
        <v>5739</v>
      </c>
      <c r="O315" s="1">
        <f>IFERROR(VLOOKUP(N315,'Leghe Fantacalcio'!B:I,8,FALSE),0)</f>
        <v>23</v>
      </c>
      <c r="P315" s="1" t="str">
        <f t="shared" si="19"/>
        <v>update giocatori set fvm = 23 where id = 1102806;</v>
      </c>
    </row>
    <row r="316" spans="1:16" x14ac:dyDescent="0.25">
      <c r="A316" s="1" t="str">
        <f t="shared" si="16"/>
        <v>DiawaraMilan</v>
      </c>
      <c r="B316" s="1" t="str">
        <f t="shared" si="17"/>
        <v>Diawara S.Milan</v>
      </c>
      <c r="C316" s="1">
        <v>1120425</v>
      </c>
      <c r="D316" s="1" t="s">
        <v>613</v>
      </c>
      <c r="E316" s="1" t="s">
        <v>580</v>
      </c>
      <c r="F316" s="1" t="s">
        <v>16</v>
      </c>
      <c r="G316" s="1" t="s">
        <v>92</v>
      </c>
      <c r="H316" s="1">
        <v>6</v>
      </c>
      <c r="I316" s="1">
        <v>1</v>
      </c>
      <c r="J316" s="1" t="e">
        <f>VLOOKUP(A316,'Leghe Fantacalcio'!A:I,1,FALSE)</f>
        <v>#N/A</v>
      </c>
      <c r="K316" s="1" t="str">
        <f>VLOOKUP(B316,'Leghe Fantacalcio'!A:I,1,FALSE)</f>
        <v>Diawara S.Milan</v>
      </c>
      <c r="L316" s="1" t="str">
        <f>IF(ISNA(VLOOKUP(A316,'Leghe Fantacalcio'!A:I,2,FALSE)),"",VLOOKUP(A316,'Leghe Fantacalcio'!A:I,2,FALSE))</f>
        <v/>
      </c>
      <c r="M316" s="1">
        <f>IF(ISNA(VLOOKUP(B316,'Leghe Fantacalcio'!A:I,2,FALSE)),"",VLOOKUP(B316,'Leghe Fantacalcio'!A:I,2,FALSE))</f>
        <v>7525</v>
      </c>
      <c r="N316" s="1">
        <f t="shared" si="18"/>
        <v>7525</v>
      </c>
      <c r="O316" s="1">
        <f>IFERROR(VLOOKUP(N316,'Leghe Fantacalcio'!B:I,8,FALSE),0)</f>
        <v>4</v>
      </c>
      <c r="P316" s="1" t="str">
        <f t="shared" si="19"/>
        <v>update giocatori set fvm = 4 where id = 1120425;</v>
      </c>
    </row>
    <row r="317" spans="1:16" x14ac:dyDescent="0.25">
      <c r="A317" s="1" t="str">
        <f t="shared" si="16"/>
        <v>EstupinanMilan</v>
      </c>
      <c r="B317" s="1" t="str">
        <f t="shared" si="17"/>
        <v>Estupinan P.Milan</v>
      </c>
      <c r="C317" s="1">
        <v>1059174</v>
      </c>
      <c r="D317" s="1" t="s">
        <v>207</v>
      </c>
      <c r="E317" s="1" t="s">
        <v>585</v>
      </c>
      <c r="F317" s="1" t="s">
        <v>16</v>
      </c>
      <c r="G317" s="1" t="s">
        <v>92</v>
      </c>
      <c r="H317" s="1">
        <v>6</v>
      </c>
      <c r="I317" s="1">
        <v>4</v>
      </c>
      <c r="J317" s="1" t="str">
        <f>VLOOKUP(A317,'Leghe Fantacalcio'!A:I,1,FALSE)</f>
        <v>EstupinanMilan</v>
      </c>
      <c r="K317" s="1" t="e">
        <f>VLOOKUP(B317,'Leghe Fantacalcio'!A:I,1,FALSE)</f>
        <v>#N/A</v>
      </c>
      <c r="L317" s="1">
        <f>IF(ISNA(VLOOKUP(A317,'Leghe Fantacalcio'!A:I,2,FALSE)),"",VLOOKUP(A317,'Leghe Fantacalcio'!A:I,2,FALSE))</f>
        <v>5273</v>
      </c>
      <c r="M317" s="1" t="str">
        <f>IF(ISNA(VLOOKUP(B317,'Leghe Fantacalcio'!A:I,2,FALSE)),"",VLOOKUP(B317,'Leghe Fantacalcio'!A:I,2,FALSE))</f>
        <v/>
      </c>
      <c r="N317" s="1">
        <f t="shared" si="18"/>
        <v>5273</v>
      </c>
      <c r="O317" s="1">
        <f>IFERROR(VLOOKUP(N317,'Leghe Fantacalcio'!B:I,8,FALSE),0)</f>
        <v>13</v>
      </c>
      <c r="P317" s="1" t="str">
        <f t="shared" si="19"/>
        <v>update giocatori set fvm = 13 where id = 1059174;</v>
      </c>
    </row>
    <row r="318" spans="1:16" x14ac:dyDescent="0.25">
      <c r="A318" s="1" t="str">
        <f t="shared" si="16"/>
        <v>GabbiaMilan</v>
      </c>
      <c r="B318" s="1" t="str">
        <f t="shared" si="17"/>
        <v>Gabbia M.Milan</v>
      </c>
      <c r="C318" s="1">
        <v>1062553</v>
      </c>
      <c r="D318" s="1" t="s">
        <v>167</v>
      </c>
      <c r="E318" s="1" t="s">
        <v>572</v>
      </c>
      <c r="F318" s="1" t="s">
        <v>16</v>
      </c>
      <c r="G318" s="1" t="s">
        <v>92</v>
      </c>
      <c r="H318" s="1">
        <v>6</v>
      </c>
      <c r="I318" s="1">
        <v>9</v>
      </c>
      <c r="J318" s="1" t="str">
        <f>VLOOKUP(A318,'Leghe Fantacalcio'!A:I,1,FALSE)</f>
        <v>GabbiaMilan</v>
      </c>
      <c r="K318" s="1" t="e">
        <f>VLOOKUP(B318,'Leghe Fantacalcio'!A:I,1,FALSE)</f>
        <v>#N/A</v>
      </c>
      <c r="L318" s="1">
        <f>IF(ISNA(VLOOKUP(A318,'Leghe Fantacalcio'!A:I,2,FALSE)),"",VLOOKUP(A318,'Leghe Fantacalcio'!A:I,2,FALSE))</f>
        <v>4401</v>
      </c>
      <c r="M318" s="1" t="str">
        <f>IF(ISNA(VLOOKUP(B318,'Leghe Fantacalcio'!A:I,2,FALSE)),"",VLOOKUP(B318,'Leghe Fantacalcio'!A:I,2,FALSE))</f>
        <v/>
      </c>
      <c r="N318" s="1">
        <f t="shared" si="18"/>
        <v>4401</v>
      </c>
      <c r="O318" s="1">
        <f>IFERROR(VLOOKUP(N318,'Leghe Fantacalcio'!B:I,8,FALSE),0)</f>
        <v>10</v>
      </c>
      <c r="P318" s="1" t="str">
        <f t="shared" si="19"/>
        <v>update giocatori set fvm = 10 where id = 1062553;</v>
      </c>
    </row>
    <row r="319" spans="1:16" ht="14.5" x14ac:dyDescent="0.35">
      <c r="A319" s="1" t="str">
        <f t="shared" si="16"/>
        <v>Ramos G.Milan</v>
      </c>
      <c r="B319" s="1" t="str">
        <f t="shared" si="17"/>
        <v>Ramos G. Milan</v>
      </c>
      <c r="C319" s="1">
        <v>1096400</v>
      </c>
      <c r="D319" t="s">
        <v>483</v>
      </c>
      <c r="E319" s="1" t="s">
        <v>579</v>
      </c>
      <c r="F319" s="1" t="s">
        <v>16</v>
      </c>
      <c r="G319" s="1" t="s">
        <v>478</v>
      </c>
      <c r="H319" s="1">
        <v>6</v>
      </c>
      <c r="I319" s="1">
        <v>51</v>
      </c>
      <c r="J319" s="1" t="str">
        <f>VLOOKUP(A319,'Leghe Fantacalcio'!A:I,1,FALSE)</f>
        <v>Ramos G.Milan</v>
      </c>
      <c r="K319" s="1" t="e">
        <f>VLOOKUP(B319,'Leghe Fantacalcio'!A:I,1,FALSE)</f>
        <v>#N/A</v>
      </c>
      <c r="L319" s="1">
        <f>IF(ISNA(VLOOKUP(A319,'Leghe Fantacalcio'!A:I,2,FALSE)),"",VLOOKUP(A319,'Leghe Fantacalcio'!A:I,2,FALSE))</f>
        <v>6397</v>
      </c>
      <c r="M319" s="1" t="str">
        <f>IF(ISNA(VLOOKUP(B319,'Leghe Fantacalcio'!A:I,2,FALSE)),"",VLOOKUP(B319,'Leghe Fantacalcio'!A:I,2,FALSE))</f>
        <v/>
      </c>
      <c r="N319" s="1">
        <f t="shared" si="18"/>
        <v>6397</v>
      </c>
      <c r="O319" s="1">
        <f>IFERROR(VLOOKUP(N319,'Leghe Fantacalcio'!B:I,8,FALSE),0)</f>
        <v>237</v>
      </c>
      <c r="P319" s="1" t="str">
        <f t="shared" si="19"/>
        <v>update giocatori set fvm = 237 where id = 1096400;</v>
      </c>
    </row>
    <row r="320" spans="1:16" x14ac:dyDescent="0.25">
      <c r="A320" s="1" t="str">
        <f t="shared" si="16"/>
        <v>HutchinsonMilan</v>
      </c>
      <c r="B320" s="1" t="str">
        <f t="shared" si="17"/>
        <v>Hutchinson O.Milan</v>
      </c>
      <c r="C320" s="1">
        <v>1112387</v>
      </c>
      <c r="D320" s="1" t="s">
        <v>373</v>
      </c>
      <c r="E320" s="1" t="s">
        <v>577</v>
      </c>
      <c r="F320" s="1" t="s">
        <v>16</v>
      </c>
      <c r="G320" s="1" t="s">
        <v>283</v>
      </c>
      <c r="H320" s="1">
        <v>6</v>
      </c>
      <c r="I320" s="1">
        <v>27</v>
      </c>
      <c r="J320" s="1" t="str">
        <f>VLOOKUP(A320,'Leghe Fantacalcio'!A:I,1,FALSE)</f>
        <v>HutchinsonMilan</v>
      </c>
      <c r="K320" s="1" t="e">
        <f>VLOOKUP(B320,'Leghe Fantacalcio'!A:I,1,FALSE)</f>
        <v>#N/A</v>
      </c>
      <c r="L320" s="1">
        <f>IF(ISNA(VLOOKUP(A320,'Leghe Fantacalcio'!A:I,2,FALSE)),"",VLOOKUP(A320,'Leghe Fantacalcio'!A:I,2,FALSE))</f>
        <v>7618</v>
      </c>
      <c r="M320" s="1" t="str">
        <f>IF(ISNA(VLOOKUP(B320,'Leghe Fantacalcio'!A:I,2,FALSE)),"",VLOOKUP(B320,'Leghe Fantacalcio'!A:I,2,FALSE))</f>
        <v/>
      </c>
      <c r="N320" s="1">
        <f t="shared" si="18"/>
        <v>7618</v>
      </c>
      <c r="O320" s="1">
        <f>IFERROR(VLOOKUP(N320,'Leghe Fantacalcio'!B:I,8,FALSE),0)</f>
        <v>14</v>
      </c>
      <c r="P320" s="1" t="str">
        <f t="shared" si="19"/>
        <v>update giocatori set fvm = 14 where id = 1112387;</v>
      </c>
    </row>
    <row r="321" spans="1:16" x14ac:dyDescent="0.25">
      <c r="A321" s="1" t="str">
        <f t="shared" si="16"/>
        <v>JashariMilan</v>
      </c>
      <c r="B321" s="1" t="str">
        <f t="shared" si="17"/>
        <v>Jashari A.Milan</v>
      </c>
      <c r="C321" s="1">
        <v>1115754</v>
      </c>
      <c r="D321" s="1" t="s">
        <v>425</v>
      </c>
      <c r="E321" s="1" t="s">
        <v>584</v>
      </c>
      <c r="F321" s="1" t="s">
        <v>16</v>
      </c>
      <c r="G321" s="1" t="s">
        <v>283</v>
      </c>
      <c r="H321" s="1">
        <v>6</v>
      </c>
      <c r="I321" s="1">
        <v>12</v>
      </c>
      <c r="J321" s="1" t="str">
        <f>VLOOKUP(A321,'Leghe Fantacalcio'!A:I,1,FALSE)</f>
        <v>JashariMilan</v>
      </c>
      <c r="K321" s="1" t="e">
        <f>VLOOKUP(B321,'Leghe Fantacalcio'!A:I,1,FALSE)</f>
        <v>#N/A</v>
      </c>
      <c r="L321" s="1">
        <f>IF(ISNA(VLOOKUP(A321,'Leghe Fantacalcio'!A:I,2,FALSE)),"",VLOOKUP(A321,'Leghe Fantacalcio'!A:I,2,FALSE))</f>
        <v>7203</v>
      </c>
      <c r="M321" s="1" t="str">
        <f>IF(ISNA(VLOOKUP(B321,'Leghe Fantacalcio'!A:I,2,FALSE)),"",VLOOKUP(B321,'Leghe Fantacalcio'!A:I,2,FALSE))</f>
        <v/>
      </c>
      <c r="N321" s="1">
        <f t="shared" si="18"/>
        <v>7203</v>
      </c>
      <c r="O321" s="1">
        <f>IFERROR(VLOOKUP(N321,'Leghe Fantacalcio'!B:I,8,FALSE),0)</f>
        <v>11</v>
      </c>
      <c r="P321" s="1" t="str">
        <f t="shared" si="19"/>
        <v>update giocatori set fvm = 11 where id = 1115754;</v>
      </c>
    </row>
    <row r="322" spans="1:16" x14ac:dyDescent="0.25">
      <c r="A322" s="1" t="str">
        <f t="shared" ref="A322:A385" si="20">CONCATENATE(D322,F322)</f>
        <v>Loftus-CheekMilan</v>
      </c>
      <c r="B322" s="1" t="str">
        <f t="shared" si="17"/>
        <v>Loftus-Cheek R.Milan</v>
      </c>
      <c r="C322" s="1">
        <v>1049768</v>
      </c>
      <c r="D322" s="1" t="s">
        <v>427</v>
      </c>
      <c r="E322" s="1" t="s">
        <v>581</v>
      </c>
      <c r="F322" s="1" t="s">
        <v>16</v>
      </c>
      <c r="G322" s="1" t="s">
        <v>283</v>
      </c>
      <c r="H322" s="1">
        <v>6</v>
      </c>
      <c r="I322" s="1">
        <v>21</v>
      </c>
      <c r="J322" s="1" t="str">
        <f>VLOOKUP(A322,'Leghe Fantacalcio'!A:I,1,FALSE)</f>
        <v>Loftus-CheekMilan</v>
      </c>
      <c r="K322" s="1" t="e">
        <f>VLOOKUP(B322,'Leghe Fantacalcio'!A:I,1,FALSE)</f>
        <v>#N/A</v>
      </c>
      <c r="L322" s="1">
        <f>IF(ISNA(VLOOKUP(A322,'Leghe Fantacalcio'!A:I,2,FALSE)),"",VLOOKUP(A322,'Leghe Fantacalcio'!A:I,2,FALSE))</f>
        <v>4199</v>
      </c>
      <c r="M322" s="1" t="str">
        <f>IF(ISNA(VLOOKUP(B322,'Leghe Fantacalcio'!A:I,2,FALSE)),"",VLOOKUP(B322,'Leghe Fantacalcio'!A:I,2,FALSE))</f>
        <v/>
      </c>
      <c r="N322" s="1">
        <f t="shared" si="18"/>
        <v>4199</v>
      </c>
      <c r="O322" s="1">
        <f>IFERROR(VLOOKUP(N322,'Leghe Fantacalcio'!B:I,8,FALSE),0)</f>
        <v>15</v>
      </c>
      <c r="P322" s="1" t="str">
        <f t="shared" si="19"/>
        <v>update giocatori set fvm = 15 where id = 1049768;</v>
      </c>
    </row>
    <row r="323" spans="1:16" x14ac:dyDescent="0.25">
      <c r="A323" s="1" t="str">
        <f t="shared" si="20"/>
        <v>MaignanMilan</v>
      </c>
      <c r="B323" s="1" t="str">
        <f t="shared" ref="B323:B386" si="21">CONCATENATE(D323," ",E323,F323)</f>
        <v>Maignan M.Milan</v>
      </c>
      <c r="C323" s="1">
        <v>1042646</v>
      </c>
      <c r="D323" s="1" t="s">
        <v>15</v>
      </c>
      <c r="E323" s="1" t="s">
        <v>572</v>
      </c>
      <c r="F323" s="1" t="s">
        <v>16</v>
      </c>
      <c r="G323" s="1" t="s">
        <v>8</v>
      </c>
      <c r="H323" s="1">
        <v>6</v>
      </c>
      <c r="I323" s="1">
        <v>21</v>
      </c>
      <c r="J323" s="1" t="str">
        <f>VLOOKUP(A323,'Leghe Fantacalcio'!A:I,1,FALSE)</f>
        <v>MaignanMilan</v>
      </c>
      <c r="K323" s="1" t="e">
        <f>VLOOKUP(B323,'Leghe Fantacalcio'!A:I,1,FALSE)</f>
        <v>#N/A</v>
      </c>
      <c r="L323" s="1">
        <f>IF(ISNA(VLOOKUP(A323,'Leghe Fantacalcio'!A:I,2,FALSE)),"",VLOOKUP(A323,'Leghe Fantacalcio'!A:I,2,FALSE))</f>
        <v>4312</v>
      </c>
      <c r="M323" s="1" t="str">
        <f>IF(ISNA(VLOOKUP(B323,'Leghe Fantacalcio'!A:I,2,FALSE)),"",VLOOKUP(B323,'Leghe Fantacalcio'!A:I,2,FALSE))</f>
        <v/>
      </c>
      <c r="N323" s="1">
        <f t="shared" ref="N323:N386" si="22">IFERROR(VALUE(CONCATENATE(L323,M323)),"")</f>
        <v>4312</v>
      </c>
      <c r="O323" s="1">
        <f>IFERROR(VLOOKUP(N323,'Leghe Fantacalcio'!B:I,8,FALSE),0)</f>
        <v>54</v>
      </c>
      <c r="P323" s="1" t="str">
        <f t="shared" ref="P323:P386" si="23">CONCATENATE("update giocatori set fvm = ",O323," where id = ",C323,";")</f>
        <v>update giocatori set fvm = 54 where id = 1042646;</v>
      </c>
    </row>
    <row r="324" spans="1:16" ht="14.5" x14ac:dyDescent="0.35">
      <c r="A324" s="1" t="str">
        <f t="shared" si="20"/>
        <v>GilaMilan</v>
      </c>
      <c r="B324" s="1" t="str">
        <f t="shared" si="21"/>
        <v>Gila Milan</v>
      </c>
      <c r="C324" s="1">
        <v>1112625</v>
      </c>
      <c r="D324" t="s">
        <v>103</v>
      </c>
      <c r="E324" s="1" t="s">
        <v>579</v>
      </c>
      <c r="F324" s="1" t="s">
        <v>16</v>
      </c>
      <c r="G324" s="1" t="s">
        <v>92</v>
      </c>
      <c r="H324" s="1">
        <v>6</v>
      </c>
      <c r="I324" s="1">
        <v>12</v>
      </c>
      <c r="J324" s="1" t="str">
        <f>VLOOKUP(A324,'Leghe Fantacalcio'!A:I,1,FALSE)</f>
        <v>GilaMilan</v>
      </c>
      <c r="K324" s="1" t="e">
        <f>VLOOKUP(B324,'Leghe Fantacalcio'!A:I,1,FALSE)</f>
        <v>#N/A</v>
      </c>
      <c r="L324" s="1">
        <f>IF(ISNA(VLOOKUP(A324,'Leghe Fantacalcio'!A:I,2,FALSE)),"",VLOOKUP(A324,'Leghe Fantacalcio'!A:I,2,FALSE))</f>
        <v>5833</v>
      </c>
      <c r="M324" s="1" t="str">
        <f>IF(ISNA(VLOOKUP(B324,'Leghe Fantacalcio'!A:I,2,FALSE)),"",VLOOKUP(B324,'Leghe Fantacalcio'!A:I,2,FALSE))</f>
        <v/>
      </c>
      <c r="N324" s="1">
        <f t="shared" si="22"/>
        <v>5833</v>
      </c>
      <c r="O324" s="1">
        <f>IFERROR(VLOOKUP(N324,'Leghe Fantacalcio'!B:I,8,FALSE),0)</f>
        <v>30</v>
      </c>
      <c r="P324" s="1" t="str">
        <f t="shared" si="23"/>
        <v>update giocatori set fvm = 30 where id = 1112625;</v>
      </c>
    </row>
    <row r="325" spans="1:16" x14ac:dyDescent="0.25">
      <c r="A325" s="1" t="str">
        <f t="shared" si="20"/>
        <v>ModricMilan</v>
      </c>
      <c r="B325" s="1" t="str">
        <f t="shared" si="21"/>
        <v>Modric L.Milan</v>
      </c>
      <c r="C325" s="1">
        <v>1016909</v>
      </c>
      <c r="D325" s="1" t="s">
        <v>313</v>
      </c>
      <c r="E325" s="1" t="s">
        <v>590</v>
      </c>
      <c r="F325" s="1" t="s">
        <v>16</v>
      </c>
      <c r="G325" s="1" t="s">
        <v>283</v>
      </c>
      <c r="H325" s="1">
        <v>6</v>
      </c>
      <c r="I325" s="1">
        <v>33</v>
      </c>
      <c r="J325" s="1" t="str">
        <f>VLOOKUP(A325,'Leghe Fantacalcio'!A:I,1,FALSE)</f>
        <v>ModricMilan</v>
      </c>
      <c r="K325" s="1" t="e">
        <f>VLOOKUP(B325,'Leghe Fantacalcio'!A:I,1,FALSE)</f>
        <v>#N/A</v>
      </c>
      <c r="L325" s="1">
        <f>IF(ISNA(VLOOKUP(A325,'Leghe Fantacalcio'!A:I,2,FALSE)),"",VLOOKUP(A325,'Leghe Fantacalcio'!A:I,2,FALSE))</f>
        <v>2606</v>
      </c>
      <c r="M325" s="1" t="str">
        <f>IF(ISNA(VLOOKUP(B325,'Leghe Fantacalcio'!A:I,2,FALSE)),"",VLOOKUP(B325,'Leghe Fantacalcio'!A:I,2,FALSE))</f>
        <v/>
      </c>
      <c r="N325" s="1">
        <f t="shared" si="22"/>
        <v>2606</v>
      </c>
      <c r="O325" s="1">
        <f>IFERROR(VLOOKUP(N325,'Leghe Fantacalcio'!B:I,8,FALSE),0)</f>
        <v>40</v>
      </c>
      <c r="P325" s="1" t="str">
        <f t="shared" si="23"/>
        <v>update giocatori set fvm = 40 where id = 1016909;</v>
      </c>
    </row>
    <row r="326" spans="1:16" x14ac:dyDescent="0.25">
      <c r="A326" s="1" t="str">
        <f t="shared" si="20"/>
        <v>MoreiraMilan</v>
      </c>
      <c r="B326" s="1" t="str">
        <f t="shared" si="21"/>
        <v>Moreira D.Milan</v>
      </c>
      <c r="C326" s="1">
        <v>1113444</v>
      </c>
      <c r="D326" s="1" t="s">
        <v>298</v>
      </c>
      <c r="E326" s="1" t="s">
        <v>593</v>
      </c>
      <c r="F326" s="1" t="s">
        <v>16</v>
      </c>
      <c r="G326" s="1" t="s">
        <v>283</v>
      </c>
      <c r="H326" s="1">
        <v>6</v>
      </c>
      <c r="I326" s="1">
        <v>27</v>
      </c>
      <c r="J326" s="1" t="str">
        <f>VLOOKUP(A326,'Leghe Fantacalcio'!A:I,1,FALSE)</f>
        <v>MoreiraMilan</v>
      </c>
      <c r="K326" s="1" t="e">
        <f>VLOOKUP(B326,'Leghe Fantacalcio'!A:I,1,FALSE)</f>
        <v>#N/A</v>
      </c>
      <c r="L326" s="1">
        <f>IF(ISNA(VLOOKUP(A326,'Leghe Fantacalcio'!A:I,2,FALSE)),"",VLOOKUP(A326,'Leghe Fantacalcio'!A:I,2,FALSE))</f>
        <v>6372</v>
      </c>
      <c r="M326" s="1" t="str">
        <f>IF(ISNA(VLOOKUP(B326,'Leghe Fantacalcio'!A:I,2,FALSE)),"",VLOOKUP(B326,'Leghe Fantacalcio'!A:I,2,FALSE))</f>
        <v/>
      </c>
      <c r="N326" s="1">
        <f t="shared" si="22"/>
        <v>6372</v>
      </c>
      <c r="O326" s="1">
        <f>IFERROR(VLOOKUP(N326,'Leghe Fantacalcio'!B:I,8,FALSE),0)</f>
        <v>60</v>
      </c>
      <c r="P326" s="1" t="str">
        <f t="shared" si="23"/>
        <v>update giocatori set fvm = 60 where id = 1113444;</v>
      </c>
    </row>
    <row r="327" spans="1:16" x14ac:dyDescent="0.25">
      <c r="A327" s="1" t="str">
        <f t="shared" si="20"/>
        <v>MusahMilan</v>
      </c>
      <c r="B327" s="1" t="str">
        <f t="shared" si="21"/>
        <v>Musah Y.Milan</v>
      </c>
      <c r="C327" s="1">
        <v>1101929</v>
      </c>
      <c r="D327" s="1" t="s">
        <v>426</v>
      </c>
      <c r="E327" s="1" t="s">
        <v>606</v>
      </c>
      <c r="F327" s="1" t="s">
        <v>16</v>
      </c>
      <c r="G327" s="1" t="s">
        <v>283</v>
      </c>
      <c r="H327" s="1">
        <v>6</v>
      </c>
      <c r="I327" s="1">
        <v>12</v>
      </c>
      <c r="J327" s="1" t="str">
        <f>VLOOKUP(A327,'Leghe Fantacalcio'!A:I,1,FALSE)</f>
        <v>MusahMilan</v>
      </c>
      <c r="K327" s="1" t="e">
        <f>VLOOKUP(B327,'Leghe Fantacalcio'!A:I,1,FALSE)</f>
        <v>#N/A</v>
      </c>
      <c r="L327" s="1">
        <f>IF(ISNA(VLOOKUP(A327,'Leghe Fantacalcio'!A:I,2,FALSE)),"",VLOOKUP(A327,'Leghe Fantacalcio'!A:I,2,FALSE))</f>
        <v>5295</v>
      </c>
      <c r="M327" s="1" t="str">
        <f>IF(ISNA(VLOOKUP(B327,'Leghe Fantacalcio'!A:I,2,FALSE)),"",VLOOKUP(B327,'Leghe Fantacalcio'!A:I,2,FALSE))</f>
        <v/>
      </c>
      <c r="N327" s="1">
        <f t="shared" si="22"/>
        <v>5295</v>
      </c>
      <c r="O327" s="1">
        <f>IFERROR(VLOOKUP(N327,'Leghe Fantacalcio'!B:I,8,FALSE),0)</f>
        <v>16</v>
      </c>
      <c r="P327" s="1" t="str">
        <f t="shared" si="23"/>
        <v>update giocatori set fvm = 16 where id = 1101929;</v>
      </c>
    </row>
    <row r="328" spans="1:16" x14ac:dyDescent="0.25">
      <c r="A328" s="1" t="str">
        <f t="shared" si="20"/>
        <v>PavlovicMilan</v>
      </c>
      <c r="B328" s="1" t="str">
        <f t="shared" si="21"/>
        <v>Pavlovic S.Milan</v>
      </c>
      <c r="C328" s="1">
        <v>1070846</v>
      </c>
      <c r="D328" s="1" t="s">
        <v>104</v>
      </c>
      <c r="E328" s="1" t="s">
        <v>580</v>
      </c>
      <c r="F328" s="1" t="s">
        <v>16</v>
      </c>
      <c r="G328" s="1" t="s">
        <v>92</v>
      </c>
      <c r="H328" s="1">
        <v>6</v>
      </c>
      <c r="I328" s="1">
        <v>19</v>
      </c>
      <c r="J328" s="1" t="str">
        <f>VLOOKUP(A328,'Leghe Fantacalcio'!A:I,1,FALSE)</f>
        <v>PavlovicMilan</v>
      </c>
      <c r="K328" s="1" t="e">
        <f>VLOOKUP(B328,'Leghe Fantacalcio'!A:I,1,FALSE)</f>
        <v>#N/A</v>
      </c>
      <c r="L328" s="1">
        <f>IF(ISNA(VLOOKUP(A328,'Leghe Fantacalcio'!A:I,2,FALSE)),"",VLOOKUP(A328,'Leghe Fantacalcio'!A:I,2,FALSE))</f>
        <v>5022</v>
      </c>
      <c r="M328" s="1" t="str">
        <f>IF(ISNA(VLOOKUP(B328,'Leghe Fantacalcio'!A:I,2,FALSE)),"",VLOOKUP(B328,'Leghe Fantacalcio'!A:I,2,FALSE))</f>
        <v/>
      </c>
      <c r="N328" s="1">
        <f t="shared" si="22"/>
        <v>5022</v>
      </c>
      <c r="O328" s="1">
        <f>IFERROR(VLOOKUP(N328,'Leghe Fantacalcio'!B:I,8,FALSE),0)</f>
        <v>50</v>
      </c>
      <c r="P328" s="1" t="str">
        <f t="shared" si="23"/>
        <v>update giocatori set fvm = 50 where id = 1070846;</v>
      </c>
    </row>
    <row r="329" spans="1:16" x14ac:dyDescent="0.25">
      <c r="A329" s="1" t="str">
        <f t="shared" si="20"/>
        <v>PulisicMilan</v>
      </c>
      <c r="B329" s="1" t="str">
        <f t="shared" si="21"/>
        <v>Pulisic C.Milan</v>
      </c>
      <c r="C329" s="1">
        <v>1053448</v>
      </c>
      <c r="D329" s="1" t="s">
        <v>286</v>
      </c>
      <c r="E329" s="1" t="s">
        <v>592</v>
      </c>
      <c r="F329" s="1" t="s">
        <v>16</v>
      </c>
      <c r="G329" s="1" t="s">
        <v>283</v>
      </c>
      <c r="H329" s="1">
        <v>6</v>
      </c>
      <c r="I329" s="1">
        <v>38</v>
      </c>
      <c r="J329" s="1" t="str">
        <f>VLOOKUP(A329,'Leghe Fantacalcio'!A:I,1,FALSE)</f>
        <v>PulisicMilan</v>
      </c>
      <c r="K329" s="1" t="e">
        <f>VLOOKUP(B329,'Leghe Fantacalcio'!A:I,1,FALSE)</f>
        <v>#N/A</v>
      </c>
      <c r="L329" s="1">
        <f>IF(ISNA(VLOOKUP(A329,'Leghe Fantacalcio'!A:I,2,FALSE)),"",VLOOKUP(A329,'Leghe Fantacalcio'!A:I,2,FALSE))</f>
        <v>2423</v>
      </c>
      <c r="M329" s="1" t="str">
        <f>IF(ISNA(VLOOKUP(B329,'Leghe Fantacalcio'!A:I,2,FALSE)),"",VLOOKUP(B329,'Leghe Fantacalcio'!A:I,2,FALSE))</f>
        <v/>
      </c>
      <c r="N329" s="1">
        <f t="shared" si="22"/>
        <v>2423</v>
      </c>
      <c r="O329" s="1">
        <f>IFERROR(VLOOKUP(N329,'Leghe Fantacalcio'!B:I,8,FALSE),0)</f>
        <v>150</v>
      </c>
      <c r="P329" s="1" t="str">
        <f t="shared" si="23"/>
        <v>update giocatori set fvm = 150 where id = 1053448;</v>
      </c>
    </row>
    <row r="330" spans="1:16" x14ac:dyDescent="0.25">
      <c r="A330" s="1" t="str">
        <f t="shared" si="20"/>
        <v>RabiotMilan</v>
      </c>
      <c r="B330" s="1" t="str">
        <f t="shared" si="21"/>
        <v>Rabiot A.Milan</v>
      </c>
      <c r="C330" s="1">
        <v>1038053</v>
      </c>
      <c r="D330" s="1" t="s">
        <v>287</v>
      </c>
      <c r="E330" s="1" t="s">
        <v>584</v>
      </c>
      <c r="F330" s="1" t="s">
        <v>16</v>
      </c>
      <c r="G330" s="1" t="s">
        <v>283</v>
      </c>
      <c r="H330" s="1">
        <v>6</v>
      </c>
      <c r="I330" s="1">
        <v>40</v>
      </c>
      <c r="J330" s="1" t="str">
        <f>VLOOKUP(A330,'Leghe Fantacalcio'!A:I,1,FALSE)</f>
        <v>RabiotMilan</v>
      </c>
      <c r="K330" s="1" t="e">
        <f>VLOOKUP(B330,'Leghe Fantacalcio'!A:I,1,FALSE)</f>
        <v>#N/A</v>
      </c>
      <c r="L330" s="1">
        <f>IF(ISNA(VLOOKUP(A330,'Leghe Fantacalcio'!A:I,2,FALSE)),"",VLOOKUP(A330,'Leghe Fantacalcio'!A:I,2,FALSE))</f>
        <v>2379</v>
      </c>
      <c r="M330" s="1" t="str">
        <f>IF(ISNA(VLOOKUP(B330,'Leghe Fantacalcio'!A:I,2,FALSE)),"",VLOOKUP(B330,'Leghe Fantacalcio'!A:I,2,FALSE))</f>
        <v/>
      </c>
      <c r="N330" s="1">
        <f t="shared" si="22"/>
        <v>2379</v>
      </c>
      <c r="O330" s="1">
        <f>IFERROR(VLOOKUP(N330,'Leghe Fantacalcio'!B:I,8,FALSE),0)</f>
        <v>141</v>
      </c>
      <c r="P330" s="1" t="str">
        <f t="shared" si="23"/>
        <v>update giocatori set fvm = 141 where id = 1038053;</v>
      </c>
    </row>
    <row r="331" spans="1:16" x14ac:dyDescent="0.25">
      <c r="A331" s="1" t="str">
        <f t="shared" si="20"/>
        <v>SaelemaekersMilan</v>
      </c>
      <c r="B331" s="1" t="str">
        <f t="shared" si="21"/>
        <v>Saelemaekers A.Milan</v>
      </c>
      <c r="C331" s="1">
        <v>1065986</v>
      </c>
      <c r="D331" s="1" t="s">
        <v>321</v>
      </c>
      <c r="E331" s="1" t="s">
        <v>584</v>
      </c>
      <c r="F331" s="1" t="s">
        <v>16</v>
      </c>
      <c r="G331" s="1" t="s">
        <v>283</v>
      </c>
      <c r="H331" s="1">
        <v>6</v>
      </c>
      <c r="I331" s="1">
        <v>30</v>
      </c>
      <c r="J331" s="1" t="str">
        <f>VLOOKUP(A331,'Leghe Fantacalcio'!A:I,1,FALSE)</f>
        <v>SaelemaekersMilan</v>
      </c>
      <c r="K331" s="1" t="e">
        <f>VLOOKUP(B331,'Leghe Fantacalcio'!A:I,1,FALSE)</f>
        <v>#N/A</v>
      </c>
      <c r="L331" s="1">
        <f>IF(ISNA(VLOOKUP(A331,'Leghe Fantacalcio'!A:I,2,FALSE)),"",VLOOKUP(A331,'Leghe Fantacalcio'!A:I,2,FALSE))</f>
        <v>4892</v>
      </c>
      <c r="M331" s="1" t="str">
        <f>IF(ISNA(VLOOKUP(B331,'Leghe Fantacalcio'!A:I,2,FALSE)),"",VLOOKUP(B331,'Leghe Fantacalcio'!A:I,2,FALSE))</f>
        <v/>
      </c>
      <c r="N331" s="1">
        <f t="shared" si="22"/>
        <v>4892</v>
      </c>
      <c r="O331" s="1">
        <f>IFERROR(VLOOKUP(N331,'Leghe Fantacalcio'!B:I,8,FALSE),0)</f>
        <v>32</v>
      </c>
      <c r="P331" s="1" t="str">
        <f t="shared" si="23"/>
        <v>update giocatori set fvm = 32 where id = 1065986;</v>
      </c>
    </row>
    <row r="332" spans="1:16" x14ac:dyDescent="0.25">
      <c r="A332" s="1" t="str">
        <f t="shared" si="20"/>
        <v>TerraccianoMilan</v>
      </c>
      <c r="B332" s="1" t="str">
        <f t="shared" si="21"/>
        <v>Terracciano F.Milan</v>
      </c>
      <c r="C332" s="1">
        <v>1095212</v>
      </c>
      <c r="D332" s="1" t="s">
        <v>69</v>
      </c>
      <c r="E332" s="1" t="s">
        <v>589</v>
      </c>
      <c r="F332" s="1" t="s">
        <v>16</v>
      </c>
      <c r="G332" s="1" t="s">
        <v>92</v>
      </c>
      <c r="H332" s="1">
        <v>6</v>
      </c>
      <c r="I332" s="1">
        <v>5</v>
      </c>
      <c r="J332" s="1" t="str">
        <f>VLOOKUP(A332,'Leghe Fantacalcio'!A:I,1,FALSE)</f>
        <v>TerraccianoMilan</v>
      </c>
      <c r="K332" s="1" t="str">
        <f>VLOOKUP(B332,'Leghe Fantacalcio'!A:I,1,FALSE)</f>
        <v>Terracciano F.Milan</v>
      </c>
      <c r="L332" s="1">
        <f>IF(ISNA(VLOOKUP(A332,'Leghe Fantacalcio'!A:I,2,FALSE)),"",VLOOKUP(A332,'Leghe Fantacalcio'!A:I,2,FALSE))</f>
        <v>2815</v>
      </c>
      <c r="M332" s="1">
        <f>IF(ISNA(VLOOKUP(B332,'Leghe Fantacalcio'!A:I,2,FALSE)),"",VLOOKUP(B332,'Leghe Fantacalcio'!A:I,2,FALSE))</f>
        <v>5812</v>
      </c>
      <c r="N332" s="1">
        <f t="shared" si="22"/>
        <v>28155812</v>
      </c>
      <c r="O332" s="1">
        <f>IFERROR(VLOOKUP(N332,'Leghe Fantacalcio'!B:I,8,FALSE),0)</f>
        <v>0</v>
      </c>
      <c r="P332" s="1" t="str">
        <f t="shared" si="23"/>
        <v>update giocatori set fvm = 0 where id = 1095212;</v>
      </c>
    </row>
    <row r="333" spans="1:16" x14ac:dyDescent="0.25">
      <c r="A333" s="1" t="str">
        <f t="shared" si="20"/>
        <v>TerraccianoMilan</v>
      </c>
      <c r="B333" s="1" t="str">
        <f t="shared" si="21"/>
        <v>Terracciano P.Milan</v>
      </c>
      <c r="C333" s="1">
        <v>1018210</v>
      </c>
      <c r="D333" s="1" t="s">
        <v>69</v>
      </c>
      <c r="E333" s="1" t="s">
        <v>585</v>
      </c>
      <c r="F333" s="1" t="s">
        <v>16</v>
      </c>
      <c r="G333" s="1" t="s">
        <v>8</v>
      </c>
      <c r="H333" s="1">
        <v>6</v>
      </c>
      <c r="I333" s="1">
        <v>1</v>
      </c>
      <c r="J333" s="1" t="str">
        <f>VLOOKUP(A333,'Leghe Fantacalcio'!A:I,1,FALSE)</f>
        <v>TerraccianoMilan</v>
      </c>
      <c r="K333" s="1" t="e">
        <f>VLOOKUP(B333,'Leghe Fantacalcio'!A:I,1,FALSE)</f>
        <v>#N/A</v>
      </c>
      <c r="L333" s="1">
        <f>IF(ISNA(VLOOKUP(A333,'Leghe Fantacalcio'!A:I,2,FALSE)),"",VLOOKUP(A333,'Leghe Fantacalcio'!A:I,2,FALSE))</f>
        <v>2815</v>
      </c>
      <c r="M333" s="1" t="str">
        <f>IF(ISNA(VLOOKUP(B333,'Leghe Fantacalcio'!A:I,2,FALSE)),"",VLOOKUP(B333,'Leghe Fantacalcio'!A:I,2,FALSE))</f>
        <v/>
      </c>
      <c r="N333" s="1">
        <f t="shared" si="22"/>
        <v>2815</v>
      </c>
      <c r="O333" s="1">
        <f>IFERROR(VLOOKUP(N333,'Leghe Fantacalcio'!B:I,8,FALSE),0)</f>
        <v>1</v>
      </c>
      <c r="P333" s="1" t="str">
        <f t="shared" si="23"/>
        <v>update giocatori set fvm = 1 where id = 1018210;</v>
      </c>
    </row>
    <row r="334" spans="1:16" x14ac:dyDescent="0.25">
      <c r="A334" s="1" t="str">
        <f t="shared" si="20"/>
        <v>TomoriMilan</v>
      </c>
      <c r="B334" s="1" t="str">
        <f t="shared" si="21"/>
        <v>Tomori F.Milan</v>
      </c>
      <c r="C334" s="1">
        <v>1058709</v>
      </c>
      <c r="D334" s="1" t="s">
        <v>191</v>
      </c>
      <c r="E334" s="1" t="s">
        <v>589</v>
      </c>
      <c r="F334" s="1" t="s">
        <v>16</v>
      </c>
      <c r="G334" s="1" t="s">
        <v>92</v>
      </c>
      <c r="H334" s="1">
        <v>6</v>
      </c>
      <c r="I334" s="1">
        <v>8</v>
      </c>
      <c r="J334" s="1" t="str">
        <f>VLOOKUP(A334,'Leghe Fantacalcio'!A:I,1,FALSE)</f>
        <v>TomoriMilan</v>
      </c>
      <c r="K334" s="1" t="e">
        <f>VLOOKUP(B334,'Leghe Fantacalcio'!A:I,1,FALSE)</f>
        <v>#N/A</v>
      </c>
      <c r="L334" s="1">
        <f>IF(ISNA(VLOOKUP(A334,'Leghe Fantacalcio'!A:I,2,FALSE)),"",VLOOKUP(A334,'Leghe Fantacalcio'!A:I,2,FALSE))</f>
        <v>4751</v>
      </c>
      <c r="M334" s="1" t="str">
        <f>IF(ISNA(VLOOKUP(B334,'Leghe Fantacalcio'!A:I,2,FALSE)),"",VLOOKUP(B334,'Leghe Fantacalcio'!A:I,2,FALSE))</f>
        <v/>
      </c>
      <c r="N334" s="1">
        <f t="shared" si="22"/>
        <v>4751</v>
      </c>
      <c r="O334" s="1">
        <f>IFERROR(VLOOKUP(N334,'Leghe Fantacalcio'!B:I,8,FALSE),0)</f>
        <v>7</v>
      </c>
      <c r="P334" s="1" t="str">
        <f t="shared" si="23"/>
        <v>update giocatori set fvm = 7 where id = 1058709;</v>
      </c>
    </row>
    <row r="335" spans="1:16" x14ac:dyDescent="0.25">
      <c r="A335" s="1" t="str">
        <f t="shared" si="20"/>
        <v>TorrianiMilan</v>
      </c>
      <c r="B335" s="1" t="str">
        <f t="shared" si="21"/>
        <v>Torriani L.Milan</v>
      </c>
      <c r="C335" s="1">
        <v>1119513</v>
      </c>
      <c r="D335" s="1" t="s">
        <v>70</v>
      </c>
      <c r="E335" s="1" t="s">
        <v>590</v>
      </c>
      <c r="F335" s="1" t="s">
        <v>16</v>
      </c>
      <c r="G335" s="1" t="s">
        <v>8</v>
      </c>
      <c r="H335" s="1">
        <v>6</v>
      </c>
      <c r="I335" s="1">
        <v>1</v>
      </c>
      <c r="J335" s="1" t="str">
        <f>VLOOKUP(A335,'Leghe Fantacalcio'!A:I,1,FALSE)</f>
        <v>TorrianiMilan</v>
      </c>
      <c r="K335" s="1" t="e">
        <f>VLOOKUP(B335,'Leghe Fantacalcio'!A:I,1,FALSE)</f>
        <v>#N/A</v>
      </c>
      <c r="L335" s="1">
        <f>IF(ISNA(VLOOKUP(A335,'Leghe Fantacalcio'!A:I,2,FALSE)),"",VLOOKUP(A335,'Leghe Fantacalcio'!A:I,2,FALSE))</f>
        <v>6813</v>
      </c>
      <c r="M335" s="1" t="str">
        <f>IF(ISNA(VLOOKUP(B335,'Leghe Fantacalcio'!A:I,2,FALSE)),"",VLOOKUP(B335,'Leghe Fantacalcio'!A:I,2,FALSE))</f>
        <v/>
      </c>
      <c r="N335" s="1">
        <f t="shared" si="22"/>
        <v>6813</v>
      </c>
      <c r="O335" s="1">
        <f>IFERROR(VLOOKUP(N335,'Leghe Fantacalcio'!B:I,8,FALSE),0)</f>
        <v>1</v>
      </c>
      <c r="P335" s="1" t="str">
        <f t="shared" si="23"/>
        <v>update giocatori set fvm = 1 where id = 1119513;</v>
      </c>
    </row>
    <row r="336" spans="1:16" x14ac:dyDescent="0.25">
      <c r="A336" s="1" t="str">
        <f t="shared" si="20"/>
        <v>AkinsanmiroMonza</v>
      </c>
      <c r="B336" s="1" t="str">
        <f t="shared" si="21"/>
        <v>Akinsanmiro E.Monza</v>
      </c>
      <c r="C336" s="1">
        <v>1116902</v>
      </c>
      <c r="D336" s="1" t="s">
        <v>355</v>
      </c>
      <c r="E336" s="1" t="s">
        <v>573</v>
      </c>
      <c r="F336" s="1" t="s">
        <v>51</v>
      </c>
      <c r="G336" s="1" t="s">
        <v>283</v>
      </c>
      <c r="H336" s="1">
        <v>6</v>
      </c>
      <c r="I336" s="1">
        <v>8</v>
      </c>
      <c r="J336" s="1" t="str">
        <f>VLOOKUP(A336,'Leghe Fantacalcio'!A:I,1,FALSE)</f>
        <v>AkinsanmiroMonza</v>
      </c>
      <c r="K336" s="1" t="e">
        <f>VLOOKUP(B336,'Leghe Fantacalcio'!A:I,1,FALSE)</f>
        <v>#N/A</v>
      </c>
      <c r="L336" s="1">
        <f>IF(ISNA(VLOOKUP(A336,'Leghe Fantacalcio'!A:I,2,FALSE)),"",VLOOKUP(A336,'Leghe Fantacalcio'!A:I,2,FALSE))</f>
        <v>6593</v>
      </c>
      <c r="M336" s="1" t="str">
        <f>IF(ISNA(VLOOKUP(B336,'Leghe Fantacalcio'!A:I,2,FALSE)),"",VLOOKUP(B336,'Leghe Fantacalcio'!A:I,2,FALSE))</f>
        <v/>
      </c>
      <c r="N336" s="1">
        <f t="shared" si="22"/>
        <v>6593</v>
      </c>
      <c r="O336" s="1">
        <f>IFERROR(VLOOKUP(N336,'Leghe Fantacalcio'!B:I,8,FALSE),0)</f>
        <v>13</v>
      </c>
      <c r="P336" s="1" t="str">
        <f t="shared" si="23"/>
        <v>update giocatori set fvm = 13 where id = 1116902;</v>
      </c>
    </row>
    <row r="337" spans="1:16" x14ac:dyDescent="0.25">
      <c r="A337" s="1" t="str">
        <f t="shared" si="20"/>
        <v>AntovMonza</v>
      </c>
      <c r="B337" s="1" t="str">
        <f t="shared" si="21"/>
        <v>Antov V.Monza</v>
      </c>
      <c r="C337" s="1">
        <v>1052361</v>
      </c>
      <c r="D337" s="1" t="s">
        <v>268</v>
      </c>
      <c r="E337" s="1" t="s">
        <v>595</v>
      </c>
      <c r="F337" s="1" t="s">
        <v>51</v>
      </c>
      <c r="G337" s="1" t="s">
        <v>92</v>
      </c>
      <c r="H337" s="1">
        <v>6</v>
      </c>
      <c r="I337" s="1">
        <v>1</v>
      </c>
      <c r="J337" s="1" t="str">
        <f>VLOOKUP(A337,'Leghe Fantacalcio'!A:I,1,FALSE)</f>
        <v>AntovMonza</v>
      </c>
      <c r="K337" s="1" t="e">
        <f>VLOOKUP(B337,'Leghe Fantacalcio'!A:I,1,FALSE)</f>
        <v>#N/A</v>
      </c>
      <c r="L337" s="1">
        <f>IF(ISNA(VLOOKUP(A337,'Leghe Fantacalcio'!A:I,2,FALSE)),"",VLOOKUP(A337,'Leghe Fantacalcio'!A:I,2,FALSE))</f>
        <v>5399</v>
      </c>
      <c r="M337" s="1" t="str">
        <f>IF(ISNA(VLOOKUP(B337,'Leghe Fantacalcio'!A:I,2,FALSE)),"",VLOOKUP(B337,'Leghe Fantacalcio'!A:I,2,FALSE))</f>
        <v/>
      </c>
      <c r="N337" s="1">
        <f t="shared" si="22"/>
        <v>5399</v>
      </c>
      <c r="O337" s="1">
        <f>IFERROR(VLOOKUP(N337,'Leghe Fantacalcio'!B:I,8,FALSE),0)</f>
        <v>2</v>
      </c>
      <c r="P337" s="1" t="str">
        <f t="shared" si="23"/>
        <v>update giocatori set fvm = 2 where id = 1052361;</v>
      </c>
    </row>
    <row r="338" spans="1:16" x14ac:dyDescent="0.25">
      <c r="A338" s="1" t="str">
        <f t="shared" si="20"/>
        <v>BakouneMonza</v>
      </c>
      <c r="B338" s="1" t="str">
        <f t="shared" si="21"/>
        <v>Bakoune A.Monza</v>
      </c>
      <c r="C338" s="1">
        <v>1120499</v>
      </c>
      <c r="D338" s="1" t="s">
        <v>211</v>
      </c>
      <c r="E338" s="1" t="s">
        <v>584</v>
      </c>
      <c r="F338" s="1" t="s">
        <v>51</v>
      </c>
      <c r="G338" s="1" t="s">
        <v>92</v>
      </c>
      <c r="H338" s="1">
        <v>6</v>
      </c>
      <c r="I338" s="1">
        <v>1</v>
      </c>
      <c r="J338" s="1" t="str">
        <f>VLOOKUP(A338,'Leghe Fantacalcio'!A:I,1,FALSE)</f>
        <v>BakouneMonza</v>
      </c>
      <c r="K338" s="1" t="e">
        <f>VLOOKUP(B338,'Leghe Fantacalcio'!A:I,1,FALSE)</f>
        <v>#N/A</v>
      </c>
      <c r="L338" s="1">
        <f>IF(ISNA(VLOOKUP(A338,'Leghe Fantacalcio'!A:I,2,FALSE)),"",VLOOKUP(A338,'Leghe Fantacalcio'!A:I,2,FALSE))</f>
        <v>7476</v>
      </c>
      <c r="M338" s="1" t="str">
        <f>IF(ISNA(VLOOKUP(B338,'Leghe Fantacalcio'!A:I,2,FALSE)),"",VLOOKUP(B338,'Leghe Fantacalcio'!A:I,2,FALSE))</f>
        <v/>
      </c>
      <c r="N338" s="1">
        <f t="shared" si="22"/>
        <v>7476</v>
      </c>
      <c r="O338" s="1">
        <f>IFERROR(VLOOKUP(N338,'Leghe Fantacalcio'!B:I,8,FALSE),0)</f>
        <v>4</v>
      </c>
      <c r="P338" s="1" t="str">
        <f t="shared" si="23"/>
        <v>update giocatori set fvm = 4 where id = 1120499;</v>
      </c>
    </row>
    <row r="339" spans="1:16" x14ac:dyDescent="0.25">
      <c r="A339" s="1" t="str">
        <f t="shared" si="20"/>
        <v>BaldeMonza</v>
      </c>
      <c r="B339" s="1" t="str">
        <f t="shared" si="21"/>
        <v>Balde K.Monza</v>
      </c>
      <c r="C339" s="1">
        <v>1040087</v>
      </c>
      <c r="D339" s="1" t="s">
        <v>669</v>
      </c>
      <c r="E339" s="1" t="s">
        <v>586</v>
      </c>
      <c r="F339" s="1" t="s">
        <v>51</v>
      </c>
      <c r="G339" s="1" t="s">
        <v>478</v>
      </c>
      <c r="H339" s="1">
        <v>6</v>
      </c>
      <c r="I339" s="1">
        <v>8</v>
      </c>
      <c r="J339" s="1" t="e">
        <f>VLOOKUP(A339,'Leghe Fantacalcio'!A:I,1,FALSE)</f>
        <v>#N/A</v>
      </c>
      <c r="K339" s="1" t="e">
        <f>VLOOKUP(B339,'Leghe Fantacalcio'!A:I,1,FALSE)</f>
        <v>#N/A</v>
      </c>
      <c r="L339" s="1" t="str">
        <f>IF(ISNA(VLOOKUP(A339,'Leghe Fantacalcio'!A:I,2,FALSE)),"",VLOOKUP(A339,'Leghe Fantacalcio'!A:I,2,FALSE))</f>
        <v/>
      </c>
      <c r="M339" s="1" t="str">
        <f>IF(ISNA(VLOOKUP(B339,'Leghe Fantacalcio'!A:I,2,FALSE)),"",VLOOKUP(B339,'Leghe Fantacalcio'!A:I,2,FALSE))</f>
        <v/>
      </c>
      <c r="N339" s="1" t="str">
        <f t="shared" si="22"/>
        <v/>
      </c>
      <c r="O339" s="1">
        <f>IFERROR(VLOOKUP(N339,'Leghe Fantacalcio'!B:I,8,FALSE),0)</f>
        <v>0</v>
      </c>
      <c r="P339" s="1" t="str">
        <f t="shared" si="23"/>
        <v>update giocatori set fvm = 0 where id = 1040087;</v>
      </c>
    </row>
    <row r="340" spans="1:16" x14ac:dyDescent="0.25">
      <c r="A340" s="1" t="str">
        <f t="shared" si="20"/>
        <v>BirindelliMonza</v>
      </c>
      <c r="B340" s="1" t="str">
        <f t="shared" si="21"/>
        <v>Birindelli S.Monza</v>
      </c>
      <c r="C340" s="1">
        <v>1061216</v>
      </c>
      <c r="D340" s="1" t="s">
        <v>152</v>
      </c>
      <c r="E340" s="1" t="s">
        <v>580</v>
      </c>
      <c r="F340" s="1" t="s">
        <v>51</v>
      </c>
      <c r="G340" s="1" t="s">
        <v>92</v>
      </c>
      <c r="H340" s="1">
        <v>6</v>
      </c>
      <c r="I340" s="1">
        <v>9</v>
      </c>
      <c r="J340" s="1" t="str">
        <f>VLOOKUP(A340,'Leghe Fantacalcio'!A:I,1,FALSE)</f>
        <v>BirindelliMonza</v>
      </c>
      <c r="K340" s="1" t="e">
        <f>VLOOKUP(B340,'Leghe Fantacalcio'!A:I,1,FALSE)</f>
        <v>#N/A</v>
      </c>
      <c r="L340" s="1">
        <f>IF(ISNA(VLOOKUP(A340,'Leghe Fantacalcio'!A:I,2,FALSE)),"",VLOOKUP(A340,'Leghe Fantacalcio'!A:I,2,FALSE))</f>
        <v>5838</v>
      </c>
      <c r="M340" s="1" t="str">
        <f>IF(ISNA(VLOOKUP(B340,'Leghe Fantacalcio'!A:I,2,FALSE)),"",VLOOKUP(B340,'Leghe Fantacalcio'!A:I,2,FALSE))</f>
        <v/>
      </c>
      <c r="N340" s="1">
        <f t="shared" si="22"/>
        <v>5838</v>
      </c>
      <c r="O340" s="1">
        <f>IFERROR(VLOOKUP(N340,'Leghe Fantacalcio'!B:I,8,FALSE),0)</f>
        <v>13</v>
      </c>
      <c r="P340" s="1" t="str">
        <f t="shared" si="23"/>
        <v>update giocatori set fvm = 13 where id = 1061216;</v>
      </c>
    </row>
    <row r="341" spans="1:16" x14ac:dyDescent="0.25">
      <c r="A341" s="1" t="str">
        <f t="shared" si="20"/>
        <v>CarboniMonza</v>
      </c>
      <c r="B341" s="1" t="str">
        <f t="shared" si="21"/>
        <v>Carboni A.Monza</v>
      </c>
      <c r="C341" s="1">
        <v>1095196</v>
      </c>
      <c r="D341" s="1" t="s">
        <v>609</v>
      </c>
      <c r="E341" s="1" t="s">
        <v>584</v>
      </c>
      <c r="F341" s="1" t="s">
        <v>51</v>
      </c>
      <c r="G341" s="1" t="s">
        <v>92</v>
      </c>
      <c r="H341" s="1">
        <v>6</v>
      </c>
      <c r="I341" s="1">
        <v>5</v>
      </c>
      <c r="J341" s="1" t="e">
        <f>VLOOKUP(A341,'Leghe Fantacalcio'!A:I,1,FALSE)</f>
        <v>#N/A</v>
      </c>
      <c r="K341" s="1" t="str">
        <f>VLOOKUP(B341,'Leghe Fantacalcio'!A:I,1,FALSE)</f>
        <v>Carboni A.Monza</v>
      </c>
      <c r="L341" s="1" t="str">
        <f>IF(ISNA(VLOOKUP(A341,'Leghe Fantacalcio'!A:I,2,FALSE)),"",VLOOKUP(A341,'Leghe Fantacalcio'!A:I,2,FALSE))</f>
        <v/>
      </c>
      <c r="M341" s="1">
        <f>IF(ISNA(VLOOKUP(B341,'Leghe Fantacalcio'!A:I,2,FALSE)),"",VLOOKUP(B341,'Leghe Fantacalcio'!A:I,2,FALSE))</f>
        <v>4925</v>
      </c>
      <c r="N341" s="1">
        <f t="shared" si="22"/>
        <v>4925</v>
      </c>
      <c r="O341" s="1">
        <f>IFERROR(VLOOKUP(N341,'Leghe Fantacalcio'!B:I,8,FALSE),0)</f>
        <v>9</v>
      </c>
      <c r="P341" s="1" t="str">
        <f t="shared" si="23"/>
        <v>update giocatori set fvm = 9 where id = 1095196;</v>
      </c>
    </row>
    <row r="342" spans="1:16" x14ac:dyDescent="0.25">
      <c r="A342" s="1" t="str">
        <f t="shared" si="20"/>
        <v>CiurriaMonza</v>
      </c>
      <c r="B342" s="1" t="str">
        <f t="shared" si="21"/>
        <v>Ciurria P.Monza</v>
      </c>
      <c r="C342" s="1">
        <v>1043378</v>
      </c>
      <c r="D342" s="1" t="s">
        <v>466</v>
      </c>
      <c r="E342" s="1" t="s">
        <v>585</v>
      </c>
      <c r="F342" s="1" t="s">
        <v>51</v>
      </c>
      <c r="G342" s="1" t="s">
        <v>283</v>
      </c>
      <c r="H342" s="1">
        <v>6</v>
      </c>
      <c r="I342" s="1">
        <v>6</v>
      </c>
      <c r="J342" s="1" t="str">
        <f>VLOOKUP(A342,'Leghe Fantacalcio'!A:I,1,FALSE)</f>
        <v>CiurriaMonza</v>
      </c>
      <c r="K342" s="1" t="e">
        <f>VLOOKUP(B342,'Leghe Fantacalcio'!A:I,1,FALSE)</f>
        <v>#N/A</v>
      </c>
      <c r="L342" s="1">
        <f>IF(ISNA(VLOOKUP(A342,'Leghe Fantacalcio'!A:I,2,FALSE)),"",VLOOKUP(A342,'Leghe Fantacalcio'!A:I,2,FALSE))</f>
        <v>5880</v>
      </c>
      <c r="M342" s="1" t="str">
        <f>IF(ISNA(VLOOKUP(B342,'Leghe Fantacalcio'!A:I,2,FALSE)),"",VLOOKUP(B342,'Leghe Fantacalcio'!A:I,2,FALSE))</f>
        <v/>
      </c>
      <c r="N342" s="1">
        <f t="shared" si="22"/>
        <v>5880</v>
      </c>
      <c r="O342" s="1">
        <f>IFERROR(VLOOKUP(N342,'Leghe Fantacalcio'!B:I,8,FALSE),0)</f>
        <v>6</v>
      </c>
      <c r="P342" s="1" t="str">
        <f t="shared" si="23"/>
        <v>update giocatori set fvm = 6 where id = 1043378;</v>
      </c>
    </row>
    <row r="343" spans="1:16" x14ac:dyDescent="0.25">
      <c r="A343" s="1" t="str">
        <f t="shared" si="20"/>
        <v>ColomboMonza</v>
      </c>
      <c r="B343" s="1" t="str">
        <f t="shared" si="21"/>
        <v>Colombo L.Monza</v>
      </c>
      <c r="C343" s="1">
        <v>1115836</v>
      </c>
      <c r="D343" s="1" t="s">
        <v>515</v>
      </c>
      <c r="E343" s="1" t="s">
        <v>590</v>
      </c>
      <c r="F343" s="1" t="s">
        <v>51</v>
      </c>
      <c r="G343" s="1" t="s">
        <v>283</v>
      </c>
      <c r="H343" s="1">
        <v>6</v>
      </c>
      <c r="I343" s="1">
        <v>8</v>
      </c>
      <c r="J343" s="1" t="e">
        <f>VLOOKUP(A343,'Leghe Fantacalcio'!A:I,1,FALSE)</f>
        <v>#N/A</v>
      </c>
      <c r="K343" s="1" t="str">
        <f>VLOOKUP(B343,'Leghe Fantacalcio'!A:I,1,FALSE)</f>
        <v>Colombo L.Monza</v>
      </c>
      <c r="L343" s="1" t="str">
        <f>IF(ISNA(VLOOKUP(A343,'Leghe Fantacalcio'!A:I,2,FALSE)),"",VLOOKUP(A343,'Leghe Fantacalcio'!A:I,2,FALSE))</f>
        <v/>
      </c>
      <c r="M343" s="1">
        <f>IF(ISNA(VLOOKUP(B343,'Leghe Fantacalcio'!A:I,2,FALSE)),"",VLOOKUP(B343,'Leghe Fantacalcio'!A:I,2,FALSE))</f>
        <v>7477</v>
      </c>
      <c r="N343" s="1">
        <f t="shared" si="22"/>
        <v>7477</v>
      </c>
      <c r="O343" s="1">
        <f>IFERROR(VLOOKUP(N343,'Leghe Fantacalcio'!B:I,8,FALSE),0)</f>
        <v>4</v>
      </c>
      <c r="P343" s="1" t="str">
        <f t="shared" si="23"/>
        <v>update giocatori set fvm = 4 where id = 1115836;</v>
      </c>
    </row>
    <row r="344" spans="1:16" x14ac:dyDescent="0.25">
      <c r="A344" s="1" t="str">
        <f t="shared" si="20"/>
        <v>ColpaniMonza</v>
      </c>
      <c r="B344" s="1" t="str">
        <f t="shared" si="21"/>
        <v>Colpani A.Monza</v>
      </c>
      <c r="C344" s="1">
        <v>1066512</v>
      </c>
      <c r="D344" s="1" t="s">
        <v>356</v>
      </c>
      <c r="E344" s="1" t="s">
        <v>584</v>
      </c>
      <c r="F344" s="1" t="s">
        <v>51</v>
      </c>
      <c r="G344" s="1" t="s">
        <v>283</v>
      </c>
      <c r="H344" s="1">
        <v>6</v>
      </c>
      <c r="I344" s="1">
        <v>16</v>
      </c>
      <c r="J344" s="1" t="str">
        <f>VLOOKUP(A344,'Leghe Fantacalcio'!A:I,1,FALSE)</f>
        <v>ColpaniMonza</v>
      </c>
      <c r="K344" s="1" t="e">
        <f>VLOOKUP(B344,'Leghe Fantacalcio'!A:I,1,FALSE)</f>
        <v>#N/A</v>
      </c>
      <c r="L344" s="1">
        <f>IF(ISNA(VLOOKUP(A344,'Leghe Fantacalcio'!A:I,2,FALSE)),"",VLOOKUP(A344,'Leghe Fantacalcio'!A:I,2,FALSE))</f>
        <v>5878</v>
      </c>
      <c r="M344" s="1" t="str">
        <f>IF(ISNA(VLOOKUP(B344,'Leghe Fantacalcio'!A:I,2,FALSE)),"",VLOOKUP(B344,'Leghe Fantacalcio'!A:I,2,FALSE))</f>
        <v/>
      </c>
      <c r="N344" s="1">
        <f t="shared" si="22"/>
        <v>5878</v>
      </c>
      <c r="O344" s="1">
        <f>IFERROR(VLOOKUP(N344,'Leghe Fantacalcio'!B:I,8,FALSE),0)</f>
        <v>15</v>
      </c>
      <c r="P344" s="1" t="str">
        <f t="shared" si="23"/>
        <v>update giocatori set fvm = 15 where id = 1066512;</v>
      </c>
    </row>
    <row r="345" spans="1:16" x14ac:dyDescent="0.25">
      <c r="A345" s="1" t="str">
        <f t="shared" si="20"/>
        <v>CutroneMonza</v>
      </c>
      <c r="B345" s="1" t="str">
        <f t="shared" si="21"/>
        <v>Cutrone P.Monza</v>
      </c>
      <c r="C345" s="1">
        <v>1051306</v>
      </c>
      <c r="D345" s="1" t="s">
        <v>525</v>
      </c>
      <c r="E345" s="1" t="s">
        <v>585</v>
      </c>
      <c r="F345" s="1" t="s">
        <v>51</v>
      </c>
      <c r="G345" s="1" t="s">
        <v>478</v>
      </c>
      <c r="H345" s="1">
        <v>6</v>
      </c>
      <c r="I345" s="1">
        <v>22</v>
      </c>
      <c r="J345" s="1" t="str">
        <f>VLOOKUP(A345,'Leghe Fantacalcio'!A:I,1,FALSE)</f>
        <v>CutroneMonza</v>
      </c>
      <c r="K345" s="1" t="e">
        <f>VLOOKUP(B345,'Leghe Fantacalcio'!A:I,1,FALSE)</f>
        <v>#N/A</v>
      </c>
      <c r="L345" s="1">
        <f>IF(ISNA(VLOOKUP(A345,'Leghe Fantacalcio'!A:I,2,FALSE)),"",VLOOKUP(A345,'Leghe Fantacalcio'!A:I,2,FALSE))</f>
        <v>2155</v>
      </c>
      <c r="M345" s="1" t="str">
        <f>IF(ISNA(VLOOKUP(B345,'Leghe Fantacalcio'!A:I,2,FALSE)),"",VLOOKUP(B345,'Leghe Fantacalcio'!A:I,2,FALSE))</f>
        <v/>
      </c>
      <c r="N345" s="1">
        <f t="shared" si="22"/>
        <v>2155</v>
      </c>
      <c r="O345" s="1">
        <f>IFERROR(VLOOKUP(N345,'Leghe Fantacalcio'!B:I,8,FALSE),0)</f>
        <v>16</v>
      </c>
      <c r="P345" s="1" t="str">
        <f t="shared" si="23"/>
        <v>update giocatori set fvm = 16 where id = 1051306;</v>
      </c>
    </row>
    <row r="346" spans="1:16" x14ac:dyDescent="0.25">
      <c r="A346" s="1" t="str">
        <f t="shared" si="20"/>
        <v>MotaMonza</v>
      </c>
      <c r="B346" s="1" t="str">
        <f t="shared" si="21"/>
        <v>Mota Monza</v>
      </c>
      <c r="C346" s="1">
        <v>1100862</v>
      </c>
      <c r="D346" s="4" t="s">
        <v>536</v>
      </c>
      <c r="E346" s="1" t="s">
        <v>579</v>
      </c>
      <c r="F346" s="1" t="s">
        <v>51</v>
      </c>
      <c r="G346" s="1" t="s">
        <v>478</v>
      </c>
      <c r="H346" s="1">
        <v>6</v>
      </c>
      <c r="I346" s="1">
        <v>16</v>
      </c>
      <c r="J346" s="1" t="str">
        <f>VLOOKUP(A346,'Leghe Fantacalcio'!A:I,1,FALSE)</f>
        <v>MotaMonza</v>
      </c>
      <c r="K346" s="1" t="e">
        <f>VLOOKUP(B346,'Leghe Fantacalcio'!A:I,1,FALSE)</f>
        <v>#N/A</v>
      </c>
      <c r="L346" s="1">
        <f>IF(ISNA(VLOOKUP(A346,'Leghe Fantacalcio'!A:I,2,FALSE)),"",VLOOKUP(A346,'Leghe Fantacalcio'!A:I,2,FALSE))</f>
        <v>5882</v>
      </c>
      <c r="M346" s="1" t="str">
        <f>IF(ISNA(VLOOKUP(B346,'Leghe Fantacalcio'!A:I,2,FALSE)),"",VLOOKUP(B346,'Leghe Fantacalcio'!A:I,2,FALSE))</f>
        <v/>
      </c>
      <c r="N346" s="1">
        <f t="shared" si="22"/>
        <v>5882</v>
      </c>
      <c r="O346" s="1">
        <f>IFERROR(VLOOKUP(N346,'Leghe Fantacalcio'!B:I,8,FALSE),0)</f>
        <v>10</v>
      </c>
      <c r="P346" s="1" t="str">
        <f t="shared" si="23"/>
        <v>update giocatori set fvm = 10 where id = 1100862;</v>
      </c>
    </row>
    <row r="347" spans="1:16" x14ac:dyDescent="0.25">
      <c r="A347" s="1" t="str">
        <f t="shared" si="20"/>
        <v>Foe OndoaMonza</v>
      </c>
      <c r="B347" s="1" t="str">
        <f t="shared" si="21"/>
        <v>Foe Ondoa M.Monza</v>
      </c>
      <c r="C347" s="1">
        <v>1120500</v>
      </c>
      <c r="D347" s="1" t="s">
        <v>457</v>
      </c>
      <c r="E347" s="1" t="s">
        <v>572</v>
      </c>
      <c r="F347" s="1" t="s">
        <v>51</v>
      </c>
      <c r="G347" s="1" t="s">
        <v>283</v>
      </c>
      <c r="H347" s="1">
        <v>6</v>
      </c>
      <c r="I347" s="1">
        <v>5</v>
      </c>
      <c r="J347" s="1" t="str">
        <f>VLOOKUP(A347,'Leghe Fantacalcio'!A:I,1,FALSE)</f>
        <v>Foe OndoaMonza</v>
      </c>
      <c r="K347" s="1" t="e">
        <f>VLOOKUP(B347,'Leghe Fantacalcio'!A:I,1,FALSE)</f>
        <v>#N/A</v>
      </c>
      <c r="L347" s="1">
        <f>IF(ISNA(VLOOKUP(A347,'Leghe Fantacalcio'!A:I,2,FALSE)),"",VLOOKUP(A347,'Leghe Fantacalcio'!A:I,2,FALSE))</f>
        <v>7574</v>
      </c>
      <c r="M347" s="1" t="str">
        <f>IF(ISNA(VLOOKUP(B347,'Leghe Fantacalcio'!A:I,2,FALSE)),"",VLOOKUP(B347,'Leghe Fantacalcio'!A:I,2,FALSE))</f>
        <v/>
      </c>
      <c r="N347" s="1">
        <f t="shared" si="22"/>
        <v>7574</v>
      </c>
      <c r="O347" s="1">
        <f>IFERROR(VLOOKUP(N347,'Leghe Fantacalcio'!B:I,8,FALSE),0)</f>
        <v>4</v>
      </c>
      <c r="P347" s="1" t="str">
        <f t="shared" si="23"/>
        <v>update giocatori set fvm = 4 where id = 1120500;</v>
      </c>
    </row>
    <row r="348" spans="1:16" x14ac:dyDescent="0.25">
      <c r="A348" s="1" t="str">
        <f t="shared" si="20"/>
        <v>FolorunshoMonza</v>
      </c>
      <c r="B348" s="1" t="str">
        <f t="shared" si="21"/>
        <v>Folorunsho M.Monza</v>
      </c>
      <c r="C348" s="1">
        <v>1102118</v>
      </c>
      <c r="D348" s="1" t="s">
        <v>440</v>
      </c>
      <c r="E348" s="1" t="s">
        <v>572</v>
      </c>
      <c r="F348" s="1" t="s">
        <v>51</v>
      </c>
      <c r="G348" s="1" t="s">
        <v>283</v>
      </c>
      <c r="H348" s="1">
        <v>6</v>
      </c>
      <c r="I348" s="1">
        <v>20</v>
      </c>
      <c r="J348" s="1" t="str">
        <f>VLOOKUP(A348,'Leghe Fantacalcio'!A:I,1,FALSE)</f>
        <v>FolorunshoMonza</v>
      </c>
      <c r="K348" s="1" t="e">
        <f>VLOOKUP(B348,'Leghe Fantacalcio'!A:I,1,FALSE)</f>
        <v>#N/A</v>
      </c>
      <c r="L348" s="1">
        <f>IF(ISNA(VLOOKUP(A348,'Leghe Fantacalcio'!A:I,2,FALSE)),"",VLOOKUP(A348,'Leghe Fantacalcio'!A:I,2,FALSE))</f>
        <v>6252</v>
      </c>
      <c r="M348" s="1" t="str">
        <f>IF(ISNA(VLOOKUP(B348,'Leghe Fantacalcio'!A:I,2,FALSE)),"",VLOOKUP(B348,'Leghe Fantacalcio'!A:I,2,FALSE))</f>
        <v/>
      </c>
      <c r="N348" s="1">
        <f t="shared" si="22"/>
        <v>6252</v>
      </c>
      <c r="O348" s="1">
        <f>IFERROR(VLOOKUP(N348,'Leghe Fantacalcio'!B:I,8,FALSE),0)</f>
        <v>15</v>
      </c>
      <c r="P348" s="1" t="str">
        <f t="shared" si="23"/>
        <v>update giocatori set fvm = 15 where id = 1102118;</v>
      </c>
    </row>
    <row r="349" spans="1:16" x14ac:dyDescent="0.25">
      <c r="A349" s="1" t="str">
        <f t="shared" si="20"/>
        <v>ForsonMonza</v>
      </c>
      <c r="B349" s="1" t="str">
        <f t="shared" si="21"/>
        <v>Forson O.Monza</v>
      </c>
      <c r="C349" s="1">
        <v>1118464</v>
      </c>
      <c r="D349" s="1" t="s">
        <v>676</v>
      </c>
      <c r="E349" s="1" t="s">
        <v>577</v>
      </c>
      <c r="F349" s="1" t="s">
        <v>51</v>
      </c>
      <c r="G349" s="1" t="s">
        <v>478</v>
      </c>
      <c r="H349" s="1">
        <v>6</v>
      </c>
      <c r="I349" s="1">
        <v>4</v>
      </c>
      <c r="J349" s="1" t="e">
        <f>VLOOKUP(A349,'Leghe Fantacalcio'!A:I,1,FALSE)</f>
        <v>#N/A</v>
      </c>
      <c r="K349" s="1" t="str">
        <f>VLOOKUP(B349,'Leghe Fantacalcio'!A:I,1,FALSE)</f>
        <v>Forson O.Monza</v>
      </c>
      <c r="L349" s="1" t="str">
        <f>IF(ISNA(VLOOKUP(A349,'Leghe Fantacalcio'!A:I,2,FALSE)),"",VLOOKUP(A349,'Leghe Fantacalcio'!A:I,2,FALSE))</f>
        <v/>
      </c>
      <c r="M349" s="1">
        <f>IF(ISNA(VLOOKUP(B349,'Leghe Fantacalcio'!A:I,2,FALSE)),"",VLOOKUP(B349,'Leghe Fantacalcio'!A:I,2,FALSE))</f>
        <v>6592</v>
      </c>
      <c r="N349" s="1">
        <f t="shared" si="22"/>
        <v>6592</v>
      </c>
      <c r="O349" s="1">
        <f>IFERROR(VLOOKUP(N349,'Leghe Fantacalcio'!B:I,8,FALSE),0)</f>
        <v>1</v>
      </c>
      <c r="P349" s="1" t="str">
        <f t="shared" si="23"/>
        <v>update giocatori set fvm = 1 where id = 1118464;</v>
      </c>
    </row>
    <row r="350" spans="1:16" x14ac:dyDescent="0.25">
      <c r="A350" s="1" t="str">
        <f t="shared" si="20"/>
        <v>GoglichidzeMonza</v>
      </c>
      <c r="B350" s="1" t="str">
        <f t="shared" si="21"/>
        <v>Goglichidze S.Monza</v>
      </c>
      <c r="C350" s="1">
        <v>1118963</v>
      </c>
      <c r="D350" s="1" t="s">
        <v>279</v>
      </c>
      <c r="E350" s="1" t="s">
        <v>580</v>
      </c>
      <c r="F350" s="1" t="s">
        <v>51</v>
      </c>
      <c r="G350" s="1" t="s">
        <v>92</v>
      </c>
      <c r="H350" s="1">
        <v>6</v>
      </c>
      <c r="I350" s="1">
        <v>3</v>
      </c>
      <c r="J350" s="1" t="str">
        <f>VLOOKUP(A350,'Leghe Fantacalcio'!A:I,1,FALSE)</f>
        <v>GoglichidzeMonza</v>
      </c>
      <c r="K350" s="1" t="e">
        <f>VLOOKUP(B350,'Leghe Fantacalcio'!A:I,1,FALSE)</f>
        <v>#N/A</v>
      </c>
      <c r="L350" s="1">
        <f>IF(ISNA(VLOOKUP(A350,'Leghe Fantacalcio'!A:I,2,FALSE)),"",VLOOKUP(A350,'Leghe Fantacalcio'!A:I,2,FALSE))</f>
        <v>6537</v>
      </c>
      <c r="M350" s="1" t="str">
        <f>IF(ISNA(VLOOKUP(B350,'Leghe Fantacalcio'!A:I,2,FALSE)),"",VLOOKUP(B350,'Leghe Fantacalcio'!A:I,2,FALSE))</f>
        <v/>
      </c>
      <c r="N350" s="1">
        <f t="shared" si="22"/>
        <v>6537</v>
      </c>
      <c r="O350" s="1">
        <f>IFERROR(VLOOKUP(N350,'Leghe Fantacalcio'!B:I,8,FALSE),0)</f>
        <v>5</v>
      </c>
      <c r="P350" s="1" t="str">
        <f t="shared" si="23"/>
        <v>update giocatori set fvm = 5 where id = 1118963;</v>
      </c>
    </row>
    <row r="351" spans="1:16" ht="14.5" x14ac:dyDescent="0.35">
      <c r="A351" s="1" t="str">
        <f t="shared" si="20"/>
        <v>Varela G.Monza</v>
      </c>
      <c r="B351" s="1" t="str">
        <f t="shared" si="21"/>
        <v>Varela G. Monza</v>
      </c>
      <c r="C351" s="1">
        <v>1119548</v>
      </c>
      <c r="D351" t="s">
        <v>517</v>
      </c>
      <c r="E351" s="1" t="s">
        <v>579</v>
      </c>
      <c r="F351" s="1" t="s">
        <v>51</v>
      </c>
      <c r="G351" s="1" t="s">
        <v>478</v>
      </c>
      <c r="H351" s="1">
        <v>6</v>
      </c>
      <c r="I351" s="1">
        <v>20</v>
      </c>
      <c r="J351" s="1" t="str">
        <f>VLOOKUP(A351,'Leghe Fantacalcio'!A:I,1,FALSE)</f>
        <v>Varela G.Monza</v>
      </c>
      <c r="K351" s="1" t="e">
        <f>VLOOKUP(B351,'Leghe Fantacalcio'!A:I,1,FALSE)</f>
        <v>#N/A</v>
      </c>
      <c r="L351" s="1">
        <f>IF(ISNA(VLOOKUP(A351,'Leghe Fantacalcio'!A:I,2,FALSE)),"",VLOOKUP(A351,'Leghe Fantacalcio'!A:I,2,FALSE))</f>
        <v>7523</v>
      </c>
      <c r="M351" s="1" t="str">
        <f>IF(ISNA(VLOOKUP(B351,'Leghe Fantacalcio'!A:I,2,FALSE)),"",VLOOKUP(B351,'Leghe Fantacalcio'!A:I,2,FALSE))</f>
        <v/>
      </c>
      <c r="N351" s="1">
        <f t="shared" si="22"/>
        <v>7523</v>
      </c>
      <c r="O351" s="1">
        <f>IFERROR(VLOOKUP(N351,'Leghe Fantacalcio'!B:I,8,FALSE),0)</f>
        <v>69</v>
      </c>
      <c r="P351" s="1" t="str">
        <f t="shared" si="23"/>
        <v>update giocatori set fvm = 69 where id = 1119548;</v>
      </c>
    </row>
    <row r="352" spans="1:16" x14ac:dyDescent="0.25">
      <c r="A352" s="1" t="str">
        <f t="shared" si="20"/>
        <v>KouadioMonza</v>
      </c>
      <c r="B352" s="1" t="str">
        <f t="shared" si="21"/>
        <v>Kouadio E.Monza</v>
      </c>
      <c r="C352" s="1">
        <v>1119765</v>
      </c>
      <c r="D352" s="1" t="s">
        <v>209</v>
      </c>
      <c r="E352" s="1" t="s">
        <v>573</v>
      </c>
      <c r="F352" s="1" t="s">
        <v>51</v>
      </c>
      <c r="G352" s="1" t="s">
        <v>92</v>
      </c>
      <c r="H352" s="1">
        <v>6</v>
      </c>
      <c r="I352" s="1">
        <v>3</v>
      </c>
      <c r="J352" s="1" t="str">
        <f>VLOOKUP(A352,'Leghe Fantacalcio'!A:I,1,FALSE)</f>
        <v>KouadioMonza</v>
      </c>
      <c r="K352" s="1" t="e">
        <f>VLOOKUP(B352,'Leghe Fantacalcio'!A:I,1,FALSE)</f>
        <v>#N/A</v>
      </c>
      <c r="L352" s="1">
        <f>IF(ISNA(VLOOKUP(A352,'Leghe Fantacalcio'!A:I,2,FALSE)),"",VLOOKUP(A352,'Leghe Fantacalcio'!A:I,2,FALSE))</f>
        <v>7238</v>
      </c>
      <c r="M352" s="1" t="str">
        <f>IF(ISNA(VLOOKUP(B352,'Leghe Fantacalcio'!A:I,2,FALSE)),"",VLOOKUP(B352,'Leghe Fantacalcio'!A:I,2,FALSE))</f>
        <v/>
      </c>
      <c r="N352" s="1">
        <f t="shared" si="22"/>
        <v>7238</v>
      </c>
      <c r="O352" s="1">
        <f>IFERROR(VLOOKUP(N352,'Leghe Fantacalcio'!B:I,8,FALSE),0)</f>
        <v>14</v>
      </c>
      <c r="P352" s="1" t="str">
        <f t="shared" si="23"/>
        <v>update giocatori set fvm = 14 where id = 1119765;</v>
      </c>
    </row>
    <row r="353" spans="1:16" x14ac:dyDescent="0.25">
      <c r="A353" s="1" t="str">
        <f t="shared" si="20"/>
        <v>LucchesiMonza</v>
      </c>
      <c r="B353" s="1" t="str">
        <f t="shared" si="21"/>
        <v>Lucchesi L.Monza</v>
      </c>
      <c r="C353" s="1">
        <v>1118057</v>
      </c>
      <c r="D353" s="1" t="s">
        <v>208</v>
      </c>
      <c r="E353" s="1" t="s">
        <v>590</v>
      </c>
      <c r="F353" s="1" t="s">
        <v>51</v>
      </c>
      <c r="G353" s="1" t="s">
        <v>92</v>
      </c>
      <c r="H353" s="1">
        <v>6</v>
      </c>
      <c r="I353" s="1">
        <v>2</v>
      </c>
      <c r="J353" s="1" t="str">
        <f>VLOOKUP(A353,'Leghe Fantacalcio'!A:I,1,FALSE)</f>
        <v>LucchesiMonza</v>
      </c>
      <c r="K353" s="1" t="e">
        <f>VLOOKUP(B353,'Leghe Fantacalcio'!A:I,1,FALSE)</f>
        <v>#N/A</v>
      </c>
      <c r="L353" s="1">
        <f>IF(ISNA(VLOOKUP(A353,'Leghe Fantacalcio'!A:I,2,FALSE)),"",VLOOKUP(A353,'Leghe Fantacalcio'!A:I,2,FALSE))</f>
        <v>6659</v>
      </c>
      <c r="M353" s="1" t="str">
        <f>IF(ISNA(VLOOKUP(B353,'Leghe Fantacalcio'!A:I,2,FALSE)),"",VLOOKUP(B353,'Leghe Fantacalcio'!A:I,2,FALSE))</f>
        <v/>
      </c>
      <c r="N353" s="1">
        <f t="shared" si="22"/>
        <v>6659</v>
      </c>
      <c r="O353" s="1">
        <f>IFERROR(VLOOKUP(N353,'Leghe Fantacalcio'!B:I,8,FALSE),0)</f>
        <v>12</v>
      </c>
      <c r="P353" s="1" t="str">
        <f t="shared" si="23"/>
        <v>update giocatori set fvm = 12 where id = 1118057;</v>
      </c>
    </row>
    <row r="354" spans="1:16" x14ac:dyDescent="0.25">
      <c r="A354" s="1" t="str">
        <f t="shared" si="20"/>
        <v>MartinsMonza</v>
      </c>
      <c r="B354" s="1" t="str">
        <f t="shared" si="21"/>
        <v>Martins K.Monza</v>
      </c>
      <c r="C354" s="1">
        <v>1119777</v>
      </c>
      <c r="D354" s="1" t="s">
        <v>679</v>
      </c>
      <c r="E354" s="1" t="s">
        <v>586</v>
      </c>
      <c r="F354" s="1" t="s">
        <v>51</v>
      </c>
      <c r="G354" s="1" t="s">
        <v>478</v>
      </c>
      <c r="H354" s="1">
        <v>6</v>
      </c>
      <c r="I354" s="1">
        <v>1</v>
      </c>
      <c r="J354" s="1" t="e">
        <f>VLOOKUP(A354,'Leghe Fantacalcio'!A:I,1,FALSE)</f>
        <v>#N/A</v>
      </c>
      <c r="K354" s="1" t="e">
        <f>VLOOKUP(B354,'Leghe Fantacalcio'!A:I,1,FALSE)</f>
        <v>#N/A</v>
      </c>
      <c r="L354" s="1" t="str">
        <f>IF(ISNA(VLOOKUP(A354,'Leghe Fantacalcio'!A:I,2,FALSE)),"",VLOOKUP(A354,'Leghe Fantacalcio'!A:I,2,FALSE))</f>
        <v/>
      </c>
      <c r="M354" s="1" t="str">
        <f>IF(ISNA(VLOOKUP(B354,'Leghe Fantacalcio'!A:I,2,FALSE)),"",VLOOKUP(B354,'Leghe Fantacalcio'!A:I,2,FALSE))</f>
        <v/>
      </c>
      <c r="N354" s="1" t="str">
        <f t="shared" si="22"/>
        <v/>
      </c>
      <c r="O354" s="1">
        <f>IFERROR(VLOOKUP(N354,'Leghe Fantacalcio'!B:I,8,FALSE),0)</f>
        <v>0</v>
      </c>
      <c r="P354" s="1" t="str">
        <f t="shared" si="23"/>
        <v>update giocatori set fvm = 0 where id = 1119777;</v>
      </c>
    </row>
    <row r="355" spans="1:16" x14ac:dyDescent="0.25">
      <c r="A355" s="1" t="str">
        <f t="shared" si="20"/>
        <v>MayeMonza</v>
      </c>
      <c r="B355" s="1" t="str">
        <f t="shared" si="21"/>
        <v>Maye Y.Monza</v>
      </c>
      <c r="C355" s="1">
        <v>1120232</v>
      </c>
      <c r="D355" s="1" t="s">
        <v>281</v>
      </c>
      <c r="E355" s="1" t="s">
        <v>606</v>
      </c>
      <c r="F355" s="1" t="s">
        <v>51</v>
      </c>
      <c r="G355" s="1" t="s">
        <v>92</v>
      </c>
      <c r="H355" s="1">
        <v>6</v>
      </c>
      <c r="I355" s="1">
        <v>2</v>
      </c>
      <c r="J355" s="1" t="str">
        <f>VLOOKUP(A355,'Leghe Fantacalcio'!A:I,1,FALSE)</f>
        <v>MayeMonza</v>
      </c>
      <c r="K355" s="1" t="e">
        <f>VLOOKUP(B355,'Leghe Fantacalcio'!A:I,1,FALSE)</f>
        <v>#N/A</v>
      </c>
      <c r="L355" s="1">
        <f>IF(ISNA(VLOOKUP(A355,'Leghe Fantacalcio'!A:I,2,FALSE)),"",VLOOKUP(A355,'Leghe Fantacalcio'!A:I,2,FALSE))</f>
        <v>7604</v>
      </c>
      <c r="M355" s="1" t="str">
        <f>IF(ISNA(VLOOKUP(B355,'Leghe Fantacalcio'!A:I,2,FALSE)),"",VLOOKUP(B355,'Leghe Fantacalcio'!A:I,2,FALSE))</f>
        <v/>
      </c>
      <c r="N355" s="1">
        <f t="shared" si="22"/>
        <v>7604</v>
      </c>
      <c r="O355" s="1">
        <f>IFERROR(VLOOKUP(N355,'Leghe Fantacalcio'!B:I,8,FALSE),0)</f>
        <v>1</v>
      </c>
      <c r="P355" s="1" t="str">
        <f t="shared" si="23"/>
        <v>update giocatori set fvm = 1 where id = 1120232;</v>
      </c>
    </row>
    <row r="356" spans="1:16" x14ac:dyDescent="0.25">
      <c r="A356" s="1" t="str">
        <f t="shared" si="20"/>
        <v>MoutMonza</v>
      </c>
      <c r="B356" s="1" t="str">
        <f t="shared" si="21"/>
        <v>Mout M.Monza</v>
      </c>
      <c r="C356" s="1">
        <v>1120542</v>
      </c>
      <c r="D356" s="1" t="s">
        <v>473</v>
      </c>
      <c r="E356" s="1" t="s">
        <v>572</v>
      </c>
      <c r="F356" s="1" t="s">
        <v>51</v>
      </c>
      <c r="G356" s="1" t="s">
        <v>283</v>
      </c>
      <c r="H356" s="1">
        <v>6</v>
      </c>
      <c r="I356" s="1">
        <v>2</v>
      </c>
      <c r="J356" s="1" t="str">
        <f>VLOOKUP(A356,'Leghe Fantacalcio'!A:I,1,FALSE)</f>
        <v>MoutMonza</v>
      </c>
      <c r="K356" s="1" t="e">
        <f>VLOOKUP(B356,'Leghe Fantacalcio'!A:I,1,FALSE)</f>
        <v>#N/A</v>
      </c>
      <c r="L356" s="1">
        <f>IF(ISNA(VLOOKUP(A356,'Leghe Fantacalcio'!A:I,2,FALSE)),"",VLOOKUP(A356,'Leghe Fantacalcio'!A:I,2,FALSE))</f>
        <v>7575</v>
      </c>
      <c r="M356" s="1" t="str">
        <f>IF(ISNA(VLOOKUP(B356,'Leghe Fantacalcio'!A:I,2,FALSE)),"",VLOOKUP(B356,'Leghe Fantacalcio'!A:I,2,FALSE))</f>
        <v/>
      </c>
      <c r="N356" s="1">
        <f t="shared" si="22"/>
        <v>7575</v>
      </c>
      <c r="O356" s="1">
        <f>IFERROR(VLOOKUP(N356,'Leghe Fantacalcio'!B:I,8,FALSE),0)</f>
        <v>12</v>
      </c>
      <c r="P356" s="1" t="str">
        <f t="shared" si="23"/>
        <v>update giocatori set fvm = 12 where id = 1120542;</v>
      </c>
    </row>
    <row r="357" spans="1:16" x14ac:dyDescent="0.25">
      <c r="A357" s="1" t="str">
        <f t="shared" si="20"/>
        <v>NgongeMonza</v>
      </c>
      <c r="B357" s="1" t="str">
        <f t="shared" si="21"/>
        <v>Ngonge C.Monza</v>
      </c>
      <c r="C357" s="1">
        <v>1116294</v>
      </c>
      <c r="D357" s="1" t="s">
        <v>552</v>
      </c>
      <c r="E357" s="1" t="s">
        <v>592</v>
      </c>
      <c r="F357" s="1" t="s">
        <v>51</v>
      </c>
      <c r="G357" s="1" t="s">
        <v>478</v>
      </c>
      <c r="H357" s="1">
        <v>6</v>
      </c>
      <c r="I357" s="1">
        <v>13</v>
      </c>
      <c r="J357" s="1" t="str">
        <f>VLOOKUP(A357,'Leghe Fantacalcio'!A:I,1,FALSE)</f>
        <v>NgongeMonza</v>
      </c>
      <c r="K357" s="1" t="e">
        <f>VLOOKUP(B357,'Leghe Fantacalcio'!A:I,1,FALSE)</f>
        <v>#N/A</v>
      </c>
      <c r="L357" s="1">
        <f>IF(ISNA(VLOOKUP(A357,'Leghe Fantacalcio'!A:I,2,FALSE)),"",VLOOKUP(A357,'Leghe Fantacalcio'!A:I,2,FALSE))</f>
        <v>6145</v>
      </c>
      <c r="M357" s="1" t="str">
        <f>IF(ISNA(VLOOKUP(B357,'Leghe Fantacalcio'!A:I,2,FALSE)),"",VLOOKUP(B357,'Leghe Fantacalcio'!A:I,2,FALSE))</f>
        <v/>
      </c>
      <c r="N357" s="1">
        <f t="shared" si="22"/>
        <v>6145</v>
      </c>
      <c r="O357" s="1">
        <f>IFERROR(VLOOKUP(N357,'Leghe Fantacalcio'!B:I,8,FALSE),0)</f>
        <v>10</v>
      </c>
      <c r="P357" s="1" t="str">
        <f t="shared" si="23"/>
        <v>update giocatori set fvm = 10 where id = 1116294;</v>
      </c>
    </row>
    <row r="358" spans="1:16" x14ac:dyDescent="0.25">
      <c r="A358" s="1" t="str">
        <f t="shared" si="20"/>
        <v>PessinaMonza</v>
      </c>
      <c r="B358" s="1" t="str">
        <f t="shared" si="21"/>
        <v>Pessina M.Monza</v>
      </c>
      <c r="C358" s="1">
        <v>1051202</v>
      </c>
      <c r="D358" s="1" t="s">
        <v>403</v>
      </c>
      <c r="E358" s="1" t="s">
        <v>572</v>
      </c>
      <c r="F358" s="1" t="s">
        <v>51</v>
      </c>
      <c r="G358" s="1" t="s">
        <v>283</v>
      </c>
      <c r="H358" s="1">
        <v>6</v>
      </c>
      <c r="I358" s="1">
        <v>13</v>
      </c>
      <c r="J358" s="1" t="str">
        <f>VLOOKUP(A358,'Leghe Fantacalcio'!A:I,1,FALSE)</f>
        <v>PessinaMonza</v>
      </c>
      <c r="K358" s="1" t="e">
        <f>VLOOKUP(B358,'Leghe Fantacalcio'!A:I,1,FALSE)</f>
        <v>#N/A</v>
      </c>
      <c r="L358" s="1">
        <f>IF(ISNA(VLOOKUP(A358,'Leghe Fantacalcio'!A:I,2,FALSE)),"",VLOOKUP(A358,'Leghe Fantacalcio'!A:I,2,FALSE))</f>
        <v>2741</v>
      </c>
      <c r="M358" s="1" t="str">
        <f>IF(ISNA(VLOOKUP(B358,'Leghe Fantacalcio'!A:I,2,FALSE)),"",VLOOKUP(B358,'Leghe Fantacalcio'!A:I,2,FALSE))</f>
        <v/>
      </c>
      <c r="N358" s="1">
        <f t="shared" si="22"/>
        <v>2741</v>
      </c>
      <c r="O358" s="1">
        <f>IFERROR(VLOOKUP(N358,'Leghe Fantacalcio'!B:I,8,FALSE),0)</f>
        <v>15</v>
      </c>
      <c r="P358" s="1" t="str">
        <f t="shared" si="23"/>
        <v>update giocatori set fvm = 15 where id = 1051202;</v>
      </c>
    </row>
    <row r="359" spans="1:16" ht="14.5" x14ac:dyDescent="0.35">
      <c r="A359" s="1" t="str">
        <f t="shared" si="20"/>
        <v>MangasMonza</v>
      </c>
      <c r="B359" s="1" t="str">
        <f t="shared" si="21"/>
        <v>Mangas Monza</v>
      </c>
      <c r="C359" s="1">
        <v>1110535</v>
      </c>
      <c r="D359" t="s">
        <v>116</v>
      </c>
      <c r="E359" s="1" t="s">
        <v>579</v>
      </c>
      <c r="F359" s="1" t="s">
        <v>51</v>
      </c>
      <c r="G359" s="1" t="s">
        <v>92</v>
      </c>
      <c r="H359" s="1">
        <v>6</v>
      </c>
      <c r="I359" s="1">
        <v>10</v>
      </c>
      <c r="J359" s="1" t="str">
        <f>VLOOKUP(A359,'Leghe Fantacalcio'!A:I,1,FALSE)</f>
        <v>MangasMonza</v>
      </c>
      <c r="K359" s="1" t="e">
        <f>VLOOKUP(B359,'Leghe Fantacalcio'!A:I,1,FALSE)</f>
        <v>#N/A</v>
      </c>
      <c r="L359" s="1">
        <f>IF(ISNA(VLOOKUP(A359,'Leghe Fantacalcio'!A:I,2,FALSE)),"",VLOOKUP(A359,'Leghe Fantacalcio'!A:I,2,FALSE))</f>
        <v>7485</v>
      </c>
      <c r="M359" s="1" t="str">
        <f>IF(ISNA(VLOOKUP(B359,'Leghe Fantacalcio'!A:I,2,FALSE)),"",VLOOKUP(B359,'Leghe Fantacalcio'!A:I,2,FALSE))</f>
        <v/>
      </c>
      <c r="N359" s="1">
        <f t="shared" si="22"/>
        <v>7485</v>
      </c>
      <c r="O359" s="1">
        <f>IFERROR(VLOOKUP(N359,'Leghe Fantacalcio'!B:I,8,FALSE),0)</f>
        <v>25</v>
      </c>
      <c r="P359" s="1" t="str">
        <f t="shared" si="23"/>
        <v>update giocatori set fvm = 25 where id = 1110535;</v>
      </c>
    </row>
    <row r="360" spans="1:16" x14ac:dyDescent="0.25">
      <c r="A360" s="1" t="str">
        <f t="shared" si="20"/>
        <v>RobinsonMonza</v>
      </c>
      <c r="B360" s="1" t="str">
        <f t="shared" si="21"/>
        <v>Robinson J.Monza</v>
      </c>
      <c r="C360" s="1">
        <v>1120541</v>
      </c>
      <c r="D360" s="1" t="s">
        <v>687</v>
      </c>
      <c r="E360" s="1" t="s">
        <v>571</v>
      </c>
      <c r="F360" s="1" t="s">
        <v>51</v>
      </c>
      <c r="G360" s="1" t="s">
        <v>478</v>
      </c>
      <c r="H360" s="1">
        <v>6</v>
      </c>
      <c r="I360" s="1">
        <v>11</v>
      </c>
      <c r="J360" s="1" t="e">
        <f>VLOOKUP(A360,'Leghe Fantacalcio'!A:I,1,FALSE)</f>
        <v>#N/A</v>
      </c>
      <c r="K360" s="1" t="str">
        <f>VLOOKUP(B360,'Leghe Fantacalcio'!A:I,1,FALSE)</f>
        <v>Robinson J.Monza</v>
      </c>
      <c r="L360" s="1" t="str">
        <f>IF(ISNA(VLOOKUP(A360,'Leghe Fantacalcio'!A:I,2,FALSE)),"",VLOOKUP(A360,'Leghe Fantacalcio'!A:I,2,FALSE))</f>
        <v/>
      </c>
      <c r="M360" s="1">
        <f>IF(ISNA(VLOOKUP(B360,'Leghe Fantacalcio'!A:I,2,FALSE)),"",VLOOKUP(B360,'Leghe Fantacalcio'!A:I,2,FALSE))</f>
        <v>7546</v>
      </c>
      <c r="N360" s="1">
        <f t="shared" si="22"/>
        <v>7546</v>
      </c>
      <c r="O360" s="1">
        <f>IFERROR(VLOOKUP(N360,'Leghe Fantacalcio'!B:I,8,FALSE),0)</f>
        <v>13</v>
      </c>
      <c r="P360" s="1" t="str">
        <f t="shared" si="23"/>
        <v>update giocatori set fvm = 13 where id = 1120541;</v>
      </c>
    </row>
    <row r="361" spans="1:16" x14ac:dyDescent="0.25">
      <c r="A361" s="1" t="str">
        <f t="shared" si="20"/>
        <v>StrajnarMonza</v>
      </c>
      <c r="B361" s="1" t="str">
        <f t="shared" si="21"/>
        <v>Strajnar A.Monza</v>
      </c>
      <c r="C361" s="1">
        <v>1120498</v>
      </c>
      <c r="D361" s="1" t="s">
        <v>71</v>
      </c>
      <c r="E361" s="1" t="s">
        <v>584</v>
      </c>
      <c r="F361" s="1" t="s">
        <v>51</v>
      </c>
      <c r="G361" s="1" t="s">
        <v>8</v>
      </c>
      <c r="H361" s="1">
        <v>6</v>
      </c>
      <c r="I361" s="1">
        <v>1</v>
      </c>
      <c r="J361" s="1" t="str">
        <f>VLOOKUP(A361,'Leghe Fantacalcio'!A:I,1,FALSE)</f>
        <v>StrajnarMonza</v>
      </c>
      <c r="K361" s="1" t="e">
        <f>VLOOKUP(B361,'Leghe Fantacalcio'!A:I,1,FALSE)</f>
        <v>#N/A</v>
      </c>
      <c r="L361" s="1">
        <f>IF(ISNA(VLOOKUP(A361,'Leghe Fantacalcio'!A:I,2,FALSE)),"",VLOOKUP(A361,'Leghe Fantacalcio'!A:I,2,FALSE))</f>
        <v>7475</v>
      </c>
      <c r="M361" s="1" t="str">
        <f>IF(ISNA(VLOOKUP(B361,'Leghe Fantacalcio'!A:I,2,FALSE)),"",VLOOKUP(B361,'Leghe Fantacalcio'!A:I,2,FALSE))</f>
        <v/>
      </c>
      <c r="N361" s="1">
        <f t="shared" si="22"/>
        <v>7475</v>
      </c>
      <c r="O361" s="1">
        <f>IFERROR(VLOOKUP(N361,'Leghe Fantacalcio'!B:I,8,FALSE),0)</f>
        <v>1</v>
      </c>
      <c r="P361" s="1" t="str">
        <f t="shared" si="23"/>
        <v>update giocatori set fvm = 1 where id = 1120498;</v>
      </c>
    </row>
    <row r="362" spans="1:16" x14ac:dyDescent="0.25">
      <c r="A362" s="1" t="str">
        <f t="shared" si="20"/>
        <v>ThiamMonza</v>
      </c>
      <c r="B362" s="1" t="str">
        <f t="shared" si="21"/>
        <v>Thiam D.Monza</v>
      </c>
      <c r="C362" s="1">
        <v>1061406</v>
      </c>
      <c r="D362" s="1" t="s">
        <v>52</v>
      </c>
      <c r="E362" s="1" t="s">
        <v>593</v>
      </c>
      <c r="F362" s="1" t="s">
        <v>51</v>
      </c>
      <c r="G362" s="1" t="s">
        <v>8</v>
      </c>
      <c r="H362" s="1">
        <v>6</v>
      </c>
      <c r="I362" s="1">
        <v>5</v>
      </c>
      <c r="J362" s="1" t="str">
        <f>VLOOKUP(A362,'Leghe Fantacalcio'!A:I,1,FALSE)</f>
        <v>ThiamMonza</v>
      </c>
      <c r="K362" s="1" t="e">
        <f>VLOOKUP(B362,'Leghe Fantacalcio'!A:I,1,FALSE)</f>
        <v>#N/A</v>
      </c>
      <c r="L362" s="1">
        <f>IF(ISNA(VLOOKUP(A362,'Leghe Fantacalcio'!A:I,2,FALSE)),"",VLOOKUP(A362,'Leghe Fantacalcio'!A:I,2,FALSE))</f>
        <v>4485</v>
      </c>
      <c r="M362" s="1" t="str">
        <f>IF(ISNA(VLOOKUP(B362,'Leghe Fantacalcio'!A:I,2,FALSE)),"",VLOOKUP(B362,'Leghe Fantacalcio'!A:I,2,FALSE))</f>
        <v/>
      </c>
      <c r="N362" s="1">
        <f t="shared" si="22"/>
        <v>4485</v>
      </c>
      <c r="O362" s="1">
        <f>IFERROR(VLOOKUP(N362,'Leghe Fantacalcio'!B:I,8,FALSE),0)</f>
        <v>3</v>
      </c>
      <c r="P362" s="1" t="str">
        <f t="shared" si="23"/>
        <v>update giocatori set fvm = 3 where id = 1061406;</v>
      </c>
    </row>
    <row r="363" spans="1:16" x14ac:dyDescent="0.25">
      <c r="A363" s="1" t="str">
        <f t="shared" si="20"/>
        <v>TornqvistMonza</v>
      </c>
      <c r="B363" s="1" t="str">
        <f t="shared" si="21"/>
        <v>Tornqvist N.Monza</v>
      </c>
      <c r="C363" s="1">
        <v>1120259</v>
      </c>
      <c r="D363" s="1" t="s">
        <v>50</v>
      </c>
      <c r="E363" s="1" t="s">
        <v>578</v>
      </c>
      <c r="F363" s="1" t="s">
        <v>51</v>
      </c>
      <c r="G363" s="1" t="s">
        <v>8</v>
      </c>
      <c r="H363" s="1">
        <v>6</v>
      </c>
      <c r="I363" s="1">
        <v>2</v>
      </c>
      <c r="J363" s="1" t="str">
        <f>VLOOKUP(A363,'Leghe Fantacalcio'!A:I,1,FALSE)</f>
        <v>TornqvistMonza</v>
      </c>
      <c r="K363" s="1" t="e">
        <f>VLOOKUP(B363,'Leghe Fantacalcio'!A:I,1,FALSE)</f>
        <v>#N/A</v>
      </c>
      <c r="L363" s="1">
        <f>IF(ISNA(VLOOKUP(A363,'Leghe Fantacalcio'!A:I,2,FALSE)),"",VLOOKUP(A363,'Leghe Fantacalcio'!A:I,2,FALSE))</f>
        <v>7301</v>
      </c>
      <c r="M363" s="1" t="str">
        <f>IF(ISNA(VLOOKUP(B363,'Leghe Fantacalcio'!A:I,2,FALSE)),"",VLOOKUP(B363,'Leghe Fantacalcio'!A:I,2,FALSE))</f>
        <v/>
      </c>
      <c r="N363" s="1">
        <f t="shared" si="22"/>
        <v>7301</v>
      </c>
      <c r="O363" s="1">
        <f>IFERROR(VLOOKUP(N363,'Leghe Fantacalcio'!B:I,8,FALSE),0)</f>
        <v>8</v>
      </c>
      <c r="P363" s="1" t="str">
        <f t="shared" si="23"/>
        <v>update giocatori set fvm = 8 where id = 1120259;</v>
      </c>
    </row>
    <row r="364" spans="1:16" ht="14.5" x14ac:dyDescent="0.35">
      <c r="A364" s="1" t="str">
        <f t="shared" si="20"/>
        <v>Tourè I.Monza</v>
      </c>
      <c r="B364" s="1" t="str">
        <f t="shared" si="21"/>
        <v>Tourè I. I.Monza</v>
      </c>
      <c r="C364" s="1">
        <v>1110209</v>
      </c>
      <c r="D364" t="s">
        <v>433</v>
      </c>
      <c r="E364" s="1" t="s">
        <v>600</v>
      </c>
      <c r="F364" s="1" t="s">
        <v>51</v>
      </c>
      <c r="G364" s="1" t="s">
        <v>283</v>
      </c>
      <c r="H364" s="1">
        <v>6</v>
      </c>
      <c r="I364" s="1">
        <v>13</v>
      </c>
      <c r="J364" s="1" t="str">
        <f>VLOOKUP(A364,'Leghe Fantacalcio'!A:I,1,FALSE)</f>
        <v>Tourè I.Monza</v>
      </c>
      <c r="K364" s="1" t="e">
        <f>VLOOKUP(B364,'Leghe Fantacalcio'!A:I,1,FALSE)</f>
        <v>#N/A</v>
      </c>
      <c r="L364" s="1">
        <f>IF(ISNA(VLOOKUP(A364,'Leghe Fantacalcio'!A:I,2,FALSE)),"",VLOOKUP(A364,'Leghe Fantacalcio'!A:I,2,FALSE))</f>
        <v>7146</v>
      </c>
      <c r="M364" s="1" t="str">
        <f>IF(ISNA(VLOOKUP(B364,'Leghe Fantacalcio'!A:I,2,FALSE)),"",VLOOKUP(B364,'Leghe Fantacalcio'!A:I,2,FALSE))</f>
        <v/>
      </c>
      <c r="N364" s="1">
        <f t="shared" si="22"/>
        <v>7146</v>
      </c>
      <c r="O364" s="1">
        <f>IFERROR(VLOOKUP(N364,'Leghe Fantacalcio'!B:I,8,FALSE),0)</f>
        <v>10</v>
      </c>
      <c r="P364" s="1" t="str">
        <f t="shared" si="23"/>
        <v>update giocatori set fvm = 10 where id = 1110209;</v>
      </c>
    </row>
    <row r="365" spans="1:16" x14ac:dyDescent="0.25">
      <c r="A365" s="1" t="str">
        <f t="shared" si="20"/>
        <v>ZeballosMonza</v>
      </c>
      <c r="B365" s="1" t="str">
        <f t="shared" si="21"/>
        <v>Zeballos E.Monza</v>
      </c>
      <c r="C365" s="1">
        <v>1120635</v>
      </c>
      <c r="D365" s="1" t="s">
        <v>532</v>
      </c>
      <c r="E365" s="1" t="s">
        <v>573</v>
      </c>
      <c r="F365" s="1" t="s">
        <v>51</v>
      </c>
      <c r="G365" s="1" t="s">
        <v>478</v>
      </c>
      <c r="H365" s="1">
        <v>6</v>
      </c>
      <c r="I365" s="1">
        <v>12</v>
      </c>
      <c r="J365" s="1" t="str">
        <f>VLOOKUP(A365,'Leghe Fantacalcio'!A:I,1,FALSE)</f>
        <v>ZeballosMonza</v>
      </c>
      <c r="K365" s="1" t="e">
        <f>VLOOKUP(B365,'Leghe Fantacalcio'!A:I,1,FALSE)</f>
        <v>#N/A</v>
      </c>
      <c r="L365" s="1">
        <f>IF(ISNA(VLOOKUP(A365,'Leghe Fantacalcio'!A:I,2,FALSE)),"",VLOOKUP(A365,'Leghe Fantacalcio'!A:I,2,FALSE))</f>
        <v>7620</v>
      </c>
      <c r="M365" s="1" t="str">
        <f>IF(ISNA(VLOOKUP(B365,'Leghe Fantacalcio'!A:I,2,FALSE)),"",VLOOKUP(B365,'Leghe Fantacalcio'!A:I,2,FALSE))</f>
        <v/>
      </c>
      <c r="N365" s="1">
        <f t="shared" si="22"/>
        <v>7620</v>
      </c>
      <c r="O365" s="1">
        <f>IFERROR(VLOOKUP(N365,'Leghe Fantacalcio'!B:I,8,FALSE),0)</f>
        <v>19</v>
      </c>
      <c r="P365" s="1" t="str">
        <f t="shared" si="23"/>
        <v>update giocatori set fvm = 19 where id = 1120635;</v>
      </c>
    </row>
    <row r="366" spans="1:16" x14ac:dyDescent="0.25">
      <c r="A366" s="1" t="str">
        <f t="shared" si="20"/>
        <v>ZiolkowskiMonza</v>
      </c>
      <c r="B366" s="1" t="str">
        <f t="shared" si="21"/>
        <v>Ziolkowski J.Monza</v>
      </c>
      <c r="C366" s="1">
        <v>1120158</v>
      </c>
      <c r="D366" s="1" t="s">
        <v>273</v>
      </c>
      <c r="E366" s="1" t="s">
        <v>571</v>
      </c>
      <c r="F366" s="1" t="s">
        <v>51</v>
      </c>
      <c r="G366" s="1" t="s">
        <v>92</v>
      </c>
      <c r="H366" s="1">
        <v>6</v>
      </c>
      <c r="I366" s="1">
        <v>2</v>
      </c>
      <c r="J366" s="1" t="str">
        <f>VLOOKUP(A366,'Leghe Fantacalcio'!A:I,1,FALSE)</f>
        <v>ZiolkowskiMonza</v>
      </c>
      <c r="K366" s="1" t="e">
        <f>VLOOKUP(B366,'Leghe Fantacalcio'!A:I,1,FALSE)</f>
        <v>#N/A</v>
      </c>
      <c r="L366" s="1">
        <f>IF(ISNA(VLOOKUP(A366,'Leghe Fantacalcio'!A:I,2,FALSE)),"",VLOOKUP(A366,'Leghe Fantacalcio'!A:I,2,FALSE))</f>
        <v>7260</v>
      </c>
      <c r="M366" s="1" t="str">
        <f>IF(ISNA(VLOOKUP(B366,'Leghe Fantacalcio'!A:I,2,FALSE)),"",VLOOKUP(B366,'Leghe Fantacalcio'!A:I,2,FALSE))</f>
        <v/>
      </c>
      <c r="N366" s="1">
        <f t="shared" si="22"/>
        <v>7260</v>
      </c>
      <c r="O366" s="1">
        <f>IFERROR(VLOOKUP(N366,'Leghe Fantacalcio'!B:I,8,FALSE),0)</f>
        <v>7</v>
      </c>
      <c r="P366" s="1" t="str">
        <f t="shared" si="23"/>
        <v>update giocatori set fvm = 7 where id = 1120158;</v>
      </c>
    </row>
    <row r="367" spans="1:16" ht="14.5" x14ac:dyDescent="0.35">
      <c r="A367" s="1" t="str">
        <f t="shared" si="20"/>
        <v>Santos A.Napoli</v>
      </c>
      <c r="B367" s="1" t="str">
        <f t="shared" si="21"/>
        <v>Santos A. Napoli</v>
      </c>
      <c r="C367" s="1">
        <v>1120328</v>
      </c>
      <c r="D367" t="s">
        <v>503</v>
      </c>
      <c r="E367" s="1" t="s">
        <v>579</v>
      </c>
      <c r="F367" s="1" t="s">
        <v>32</v>
      </c>
      <c r="G367" s="1" t="s">
        <v>283</v>
      </c>
      <c r="H367" s="1">
        <v>6</v>
      </c>
      <c r="I367" s="1">
        <v>32</v>
      </c>
      <c r="J367" s="1" t="str">
        <f>VLOOKUP(A367,'Leghe Fantacalcio'!A:I,1,FALSE)</f>
        <v>Santos A.Napoli</v>
      </c>
      <c r="K367" s="1" t="e">
        <f>VLOOKUP(B367,'Leghe Fantacalcio'!A:I,1,FALSE)</f>
        <v>#N/A</v>
      </c>
      <c r="L367" s="1">
        <f>IF(ISNA(VLOOKUP(A367,'Leghe Fantacalcio'!A:I,2,FALSE)),"",VLOOKUP(A367,'Leghe Fantacalcio'!A:I,2,FALSE))</f>
        <v>7351</v>
      </c>
      <c r="M367" s="1" t="str">
        <f>IF(ISNA(VLOOKUP(B367,'Leghe Fantacalcio'!A:I,2,FALSE)),"",VLOOKUP(B367,'Leghe Fantacalcio'!A:I,2,FALSE))</f>
        <v/>
      </c>
      <c r="N367" s="1">
        <f t="shared" si="22"/>
        <v>7351</v>
      </c>
      <c r="O367" s="1">
        <f>IFERROR(VLOOKUP(N367,'Leghe Fantacalcio'!B:I,8,FALSE),0)</f>
        <v>37</v>
      </c>
      <c r="P367" s="1" t="str">
        <f t="shared" si="23"/>
        <v>update giocatori set fvm = 37 where id = 1120328;</v>
      </c>
    </row>
    <row r="368" spans="1:16" ht="14.5" x14ac:dyDescent="0.35">
      <c r="A368" s="1" t="str">
        <f t="shared" si="20"/>
        <v>Zambo AnguissaNapoli</v>
      </c>
      <c r="B368" s="1" t="str">
        <f t="shared" si="21"/>
        <v>Zambo Anguissa F.Napoli</v>
      </c>
      <c r="C368" s="1">
        <v>1050050</v>
      </c>
      <c r="D368" t="s">
        <v>338</v>
      </c>
      <c r="E368" s="1" t="s">
        <v>589</v>
      </c>
      <c r="F368" s="1" t="s">
        <v>32</v>
      </c>
      <c r="G368" s="1" t="s">
        <v>283</v>
      </c>
      <c r="H368" s="1">
        <v>6</v>
      </c>
      <c r="I368" s="1">
        <v>24</v>
      </c>
      <c r="J368" s="1" t="str">
        <f>VLOOKUP(A368,'Leghe Fantacalcio'!A:I,1,FALSE)</f>
        <v>Zambo AnguissaNapoli</v>
      </c>
      <c r="K368" s="1" t="e">
        <f>VLOOKUP(B368,'Leghe Fantacalcio'!A:I,1,FALSE)</f>
        <v>#N/A</v>
      </c>
      <c r="L368" s="1">
        <f>IF(ISNA(VLOOKUP(A368,'Leghe Fantacalcio'!A:I,2,FALSE)),"",VLOOKUP(A368,'Leghe Fantacalcio'!A:I,2,FALSE))</f>
        <v>4220</v>
      </c>
      <c r="M368" s="1" t="str">
        <f>IF(ISNA(VLOOKUP(B368,'Leghe Fantacalcio'!A:I,2,FALSE)),"",VLOOKUP(B368,'Leghe Fantacalcio'!A:I,2,FALSE))</f>
        <v/>
      </c>
      <c r="N368" s="1">
        <f t="shared" si="22"/>
        <v>4220</v>
      </c>
      <c r="O368" s="1">
        <f>IFERROR(VLOOKUP(N368,'Leghe Fantacalcio'!B:I,8,FALSE),0)</f>
        <v>27</v>
      </c>
      <c r="P368" s="1" t="str">
        <f t="shared" si="23"/>
        <v>update giocatori set fvm = 27 where id = 1050050;</v>
      </c>
    </row>
    <row r="369" spans="1:16" x14ac:dyDescent="0.25">
      <c r="A369" s="1" t="str">
        <f t="shared" si="20"/>
        <v>BadiashileNapoli</v>
      </c>
      <c r="B369" s="1" t="str">
        <f t="shared" si="21"/>
        <v>Badiashile B.Napoli</v>
      </c>
      <c r="C369" s="1">
        <v>1069996</v>
      </c>
      <c r="D369" s="1" t="s">
        <v>173</v>
      </c>
      <c r="E369" s="1" t="s">
        <v>597</v>
      </c>
      <c r="F369" s="1" t="s">
        <v>32</v>
      </c>
      <c r="G369" s="1" t="s">
        <v>92</v>
      </c>
      <c r="H369" s="1">
        <v>6</v>
      </c>
      <c r="I369" s="1">
        <v>17</v>
      </c>
      <c r="J369" s="1" t="str">
        <f>VLOOKUP(A369,'Leghe Fantacalcio'!A:I,1,FALSE)</f>
        <v>BadiashileNapoli</v>
      </c>
      <c r="K369" s="1" t="e">
        <f>VLOOKUP(B369,'Leghe Fantacalcio'!A:I,1,FALSE)</f>
        <v>#N/A</v>
      </c>
      <c r="L369" s="1">
        <f>IF(ISNA(VLOOKUP(A369,'Leghe Fantacalcio'!A:I,2,FALSE)),"",VLOOKUP(A369,'Leghe Fantacalcio'!A:I,2,FALSE))</f>
        <v>4664</v>
      </c>
      <c r="M369" s="1" t="str">
        <f>IF(ISNA(VLOOKUP(B369,'Leghe Fantacalcio'!A:I,2,FALSE)),"",VLOOKUP(B369,'Leghe Fantacalcio'!A:I,2,FALSE))</f>
        <v/>
      </c>
      <c r="N369" s="1">
        <f t="shared" si="22"/>
        <v>4664</v>
      </c>
      <c r="O369" s="1">
        <f>IFERROR(VLOOKUP(N369,'Leghe Fantacalcio'!B:I,8,FALSE),0)</f>
        <v>8</v>
      </c>
      <c r="P369" s="1" t="str">
        <f t="shared" si="23"/>
        <v>update giocatori set fvm = 8 where id = 1069996;</v>
      </c>
    </row>
    <row r="370" spans="1:16" x14ac:dyDescent="0.25">
      <c r="A370" s="1" t="str">
        <f t="shared" si="20"/>
        <v>BeukemaNapoli</v>
      </c>
      <c r="B370" s="1" t="str">
        <f t="shared" si="21"/>
        <v>Beukema S.Napoli</v>
      </c>
      <c r="C370" s="1">
        <v>1111260</v>
      </c>
      <c r="D370" s="1" t="s">
        <v>212</v>
      </c>
      <c r="E370" s="1" t="s">
        <v>580</v>
      </c>
      <c r="F370" s="1" t="s">
        <v>32</v>
      </c>
      <c r="G370" s="1" t="s">
        <v>92</v>
      </c>
      <c r="H370" s="1">
        <v>6</v>
      </c>
      <c r="I370" s="1">
        <v>7</v>
      </c>
      <c r="J370" s="1" t="str">
        <f>VLOOKUP(A370,'Leghe Fantacalcio'!A:I,1,FALSE)</f>
        <v>BeukemaNapoli</v>
      </c>
      <c r="K370" s="1" t="e">
        <f>VLOOKUP(B370,'Leghe Fantacalcio'!A:I,1,FALSE)</f>
        <v>#N/A</v>
      </c>
      <c r="L370" s="1">
        <f>IF(ISNA(VLOOKUP(A370,'Leghe Fantacalcio'!A:I,2,FALSE)),"",VLOOKUP(A370,'Leghe Fantacalcio'!A:I,2,FALSE))</f>
        <v>6202</v>
      </c>
      <c r="M370" s="1" t="str">
        <f>IF(ISNA(VLOOKUP(B370,'Leghe Fantacalcio'!A:I,2,FALSE)),"",VLOOKUP(B370,'Leghe Fantacalcio'!A:I,2,FALSE))</f>
        <v/>
      </c>
      <c r="N370" s="1">
        <f t="shared" si="22"/>
        <v>6202</v>
      </c>
      <c r="O370" s="1">
        <f>IFERROR(VLOOKUP(N370,'Leghe Fantacalcio'!B:I,8,FALSE),0)</f>
        <v>7</v>
      </c>
      <c r="P370" s="1" t="str">
        <f t="shared" si="23"/>
        <v>update giocatori set fvm = 7 where id = 1111260;</v>
      </c>
    </row>
    <row r="371" spans="1:16" x14ac:dyDescent="0.25">
      <c r="A371" s="1" t="str">
        <f t="shared" si="20"/>
        <v>BuongiornoNapoli</v>
      </c>
      <c r="B371" s="1" t="str">
        <f t="shared" si="21"/>
        <v>Buongiorno A.Napoli</v>
      </c>
      <c r="C371" s="1">
        <v>1061933</v>
      </c>
      <c r="D371" s="1" t="s">
        <v>192</v>
      </c>
      <c r="E371" s="1" t="s">
        <v>584</v>
      </c>
      <c r="F371" s="1" t="s">
        <v>32</v>
      </c>
      <c r="G371" s="1" t="s">
        <v>92</v>
      </c>
      <c r="H371" s="1">
        <v>6</v>
      </c>
      <c r="I371" s="1">
        <v>8</v>
      </c>
      <c r="J371" s="1" t="str">
        <f>VLOOKUP(A371,'Leghe Fantacalcio'!A:I,1,FALSE)</f>
        <v>BuongiornoNapoli</v>
      </c>
      <c r="K371" s="1" t="e">
        <f>VLOOKUP(B371,'Leghe Fantacalcio'!A:I,1,FALSE)</f>
        <v>#N/A</v>
      </c>
      <c r="L371" s="1">
        <f>IF(ISNA(VLOOKUP(A371,'Leghe Fantacalcio'!A:I,2,FALSE)),"",VLOOKUP(A371,'Leghe Fantacalcio'!A:I,2,FALSE))</f>
        <v>2724</v>
      </c>
      <c r="M371" s="1" t="str">
        <f>IF(ISNA(VLOOKUP(B371,'Leghe Fantacalcio'!A:I,2,FALSE)),"",VLOOKUP(B371,'Leghe Fantacalcio'!A:I,2,FALSE))</f>
        <v/>
      </c>
      <c r="N371" s="1">
        <f t="shared" si="22"/>
        <v>2724</v>
      </c>
      <c r="O371" s="1">
        <f>IFERROR(VLOOKUP(N371,'Leghe Fantacalcio'!B:I,8,FALSE),0)</f>
        <v>10</v>
      </c>
      <c r="P371" s="1" t="str">
        <f t="shared" si="23"/>
        <v>update giocatori set fvm = 10 where id = 1061933;</v>
      </c>
    </row>
    <row r="372" spans="1:16" x14ac:dyDescent="0.25">
      <c r="A372" s="1" t="str">
        <f t="shared" si="20"/>
        <v>ContiniNapoli</v>
      </c>
      <c r="B372" s="1" t="str">
        <f t="shared" si="21"/>
        <v>Contini N.Napoli</v>
      </c>
      <c r="C372" s="1">
        <v>1044433</v>
      </c>
      <c r="D372" s="1" t="s">
        <v>72</v>
      </c>
      <c r="E372" s="1" t="s">
        <v>578</v>
      </c>
      <c r="F372" s="1" t="s">
        <v>32</v>
      </c>
      <c r="G372" s="1" t="s">
        <v>8</v>
      </c>
      <c r="H372" s="1">
        <v>6</v>
      </c>
      <c r="I372" s="1">
        <v>1</v>
      </c>
      <c r="J372" s="1" t="str">
        <f>VLOOKUP(A372,'Leghe Fantacalcio'!A:I,1,FALSE)</f>
        <v>ContiniNapoli</v>
      </c>
      <c r="K372" s="1" t="e">
        <f>VLOOKUP(B372,'Leghe Fantacalcio'!A:I,1,FALSE)</f>
        <v>#N/A</v>
      </c>
      <c r="L372" s="1">
        <f>IF(ISNA(VLOOKUP(A372,'Leghe Fantacalcio'!A:I,2,FALSE)),"",VLOOKUP(A372,'Leghe Fantacalcio'!A:I,2,FALSE))</f>
        <v>2845</v>
      </c>
      <c r="M372" s="1" t="str">
        <f>IF(ISNA(VLOOKUP(B372,'Leghe Fantacalcio'!A:I,2,FALSE)),"",VLOOKUP(B372,'Leghe Fantacalcio'!A:I,2,FALSE))</f>
        <v/>
      </c>
      <c r="N372" s="1">
        <f t="shared" si="22"/>
        <v>2845</v>
      </c>
      <c r="O372" s="1">
        <f>IFERROR(VLOOKUP(N372,'Leghe Fantacalcio'!B:I,8,FALSE),0)</f>
        <v>1</v>
      </c>
      <c r="P372" s="1" t="str">
        <f t="shared" si="23"/>
        <v>update giocatori set fvm = 1 where id = 1044433;</v>
      </c>
    </row>
    <row r="373" spans="1:16" ht="14.5" x14ac:dyDescent="0.35">
      <c r="A373" s="1" t="str">
        <f t="shared" si="20"/>
        <v>NeresNapoli</v>
      </c>
      <c r="B373" s="1" t="str">
        <f t="shared" si="21"/>
        <v>Neres Napoli</v>
      </c>
      <c r="C373" s="1">
        <v>1061894</v>
      </c>
      <c r="D373" t="s">
        <v>540</v>
      </c>
      <c r="E373" s="1" t="s">
        <v>579</v>
      </c>
      <c r="F373" s="1" t="s">
        <v>32</v>
      </c>
      <c r="G373" s="1" t="s">
        <v>478</v>
      </c>
      <c r="H373" s="1">
        <v>6</v>
      </c>
      <c r="I373" s="1">
        <v>33</v>
      </c>
      <c r="J373" s="1" t="str">
        <f>VLOOKUP(A373,'Leghe Fantacalcio'!A:I,1,FALSE)</f>
        <v>NeresNapoli</v>
      </c>
      <c r="K373" s="1" t="e">
        <f>VLOOKUP(B373,'Leghe Fantacalcio'!A:I,1,FALSE)</f>
        <v>#N/A</v>
      </c>
      <c r="L373" s="1">
        <f>IF(ISNA(VLOOKUP(A373,'Leghe Fantacalcio'!A:I,2,FALSE)),"",VLOOKUP(A373,'Leghe Fantacalcio'!A:I,2,FALSE))</f>
        <v>6831</v>
      </c>
      <c r="M373" s="1" t="str">
        <f>IF(ISNA(VLOOKUP(B373,'Leghe Fantacalcio'!A:I,2,FALSE)),"",VLOOKUP(B373,'Leghe Fantacalcio'!A:I,2,FALSE))</f>
        <v/>
      </c>
      <c r="N373" s="1">
        <f t="shared" si="22"/>
        <v>6831</v>
      </c>
      <c r="O373" s="1">
        <f>IFERROR(VLOOKUP(N373,'Leghe Fantacalcio'!B:I,8,FALSE),0)</f>
        <v>17</v>
      </c>
      <c r="P373" s="1" t="str">
        <f t="shared" si="23"/>
        <v>update giocatori set fvm = 17 where id = 1061894;</v>
      </c>
    </row>
    <row r="374" spans="1:16" x14ac:dyDescent="0.25">
      <c r="A374" s="1" t="str">
        <f t="shared" si="20"/>
        <v>De BruyneNapoli</v>
      </c>
      <c r="B374" s="1" t="str">
        <f t="shared" si="21"/>
        <v>De Bruyne K.Napoli</v>
      </c>
      <c r="C374" s="1">
        <v>1019157</v>
      </c>
      <c r="D374" s="1" t="s">
        <v>295</v>
      </c>
      <c r="E374" s="1" t="s">
        <v>586</v>
      </c>
      <c r="F374" s="1" t="s">
        <v>32</v>
      </c>
      <c r="G374" s="1" t="s">
        <v>283</v>
      </c>
      <c r="H374" s="1">
        <v>6</v>
      </c>
      <c r="I374" s="1">
        <v>37</v>
      </c>
      <c r="J374" s="1" t="str">
        <f>VLOOKUP(A374,'Leghe Fantacalcio'!A:I,1,FALSE)</f>
        <v>De BruyneNapoli</v>
      </c>
      <c r="K374" s="1" t="e">
        <f>VLOOKUP(B374,'Leghe Fantacalcio'!A:I,1,FALSE)</f>
        <v>#N/A</v>
      </c>
      <c r="L374" s="1">
        <f>IF(ISNA(VLOOKUP(A374,'Leghe Fantacalcio'!A:I,2,FALSE)),"",VLOOKUP(A374,'Leghe Fantacalcio'!A:I,2,FALSE))</f>
        <v>2517</v>
      </c>
      <c r="M374" s="1" t="str">
        <f>IF(ISNA(VLOOKUP(B374,'Leghe Fantacalcio'!A:I,2,FALSE)),"",VLOOKUP(B374,'Leghe Fantacalcio'!A:I,2,FALSE))</f>
        <v/>
      </c>
      <c r="N374" s="1">
        <f t="shared" si="22"/>
        <v>2517</v>
      </c>
      <c r="O374" s="1">
        <f>IFERROR(VLOOKUP(N374,'Leghe Fantacalcio'!B:I,8,FALSE),0)</f>
        <v>90</v>
      </c>
      <c r="P374" s="1" t="str">
        <f t="shared" si="23"/>
        <v>update giocatori set fvm = 90 where id = 1019157;</v>
      </c>
    </row>
    <row r="375" spans="1:16" x14ac:dyDescent="0.25">
      <c r="A375" s="1" t="str">
        <f t="shared" si="20"/>
        <v>Di LorenzoNapoli</v>
      </c>
      <c r="B375" s="1" t="str">
        <f t="shared" si="21"/>
        <v>Di Lorenzo G.Napoli</v>
      </c>
      <c r="C375" s="1">
        <v>1020809</v>
      </c>
      <c r="D375" s="1" t="s">
        <v>106</v>
      </c>
      <c r="E375" s="1" t="s">
        <v>575</v>
      </c>
      <c r="F375" s="1" t="s">
        <v>32</v>
      </c>
      <c r="G375" s="1" t="s">
        <v>92</v>
      </c>
      <c r="H375" s="1">
        <v>6</v>
      </c>
      <c r="I375" s="1">
        <v>15</v>
      </c>
      <c r="J375" s="1" t="str">
        <f>VLOOKUP(A375,'Leghe Fantacalcio'!A:I,1,FALSE)</f>
        <v>Di LorenzoNapoli</v>
      </c>
      <c r="K375" s="1" t="e">
        <f>VLOOKUP(B375,'Leghe Fantacalcio'!A:I,1,FALSE)</f>
        <v>#N/A</v>
      </c>
      <c r="L375" s="1">
        <f>IF(ISNA(VLOOKUP(A375,'Leghe Fantacalcio'!A:I,2,FALSE)),"",VLOOKUP(A375,'Leghe Fantacalcio'!A:I,2,FALSE))</f>
        <v>2816</v>
      </c>
      <c r="M375" s="1" t="str">
        <f>IF(ISNA(VLOOKUP(B375,'Leghe Fantacalcio'!A:I,2,FALSE)),"",VLOOKUP(B375,'Leghe Fantacalcio'!A:I,2,FALSE))</f>
        <v/>
      </c>
      <c r="N375" s="1">
        <f t="shared" si="22"/>
        <v>2816</v>
      </c>
      <c r="O375" s="1">
        <f>IFERROR(VLOOKUP(N375,'Leghe Fantacalcio'!B:I,8,FALSE),0)</f>
        <v>37</v>
      </c>
      <c r="P375" s="1" t="str">
        <f t="shared" si="23"/>
        <v>update giocatori set fvm = 37 where id = 1020809;</v>
      </c>
    </row>
    <row r="376" spans="1:16" x14ac:dyDescent="0.25">
      <c r="A376" s="1" t="str">
        <f t="shared" si="20"/>
        <v>FavasuliNapoli</v>
      </c>
      <c r="B376" s="1" t="str">
        <f t="shared" si="21"/>
        <v>Favasuli C.Napoli</v>
      </c>
      <c r="C376" s="1">
        <v>1115463</v>
      </c>
      <c r="D376" s="1" t="s">
        <v>171</v>
      </c>
      <c r="E376" s="1" t="s">
        <v>592</v>
      </c>
      <c r="F376" s="1" t="s">
        <v>32</v>
      </c>
      <c r="G376" s="1" t="s">
        <v>92</v>
      </c>
      <c r="H376" s="1">
        <v>6</v>
      </c>
      <c r="I376" s="1">
        <v>15</v>
      </c>
      <c r="J376" s="1" t="str">
        <f>VLOOKUP(A376,'Leghe Fantacalcio'!A:I,1,FALSE)</f>
        <v>FavasuliNapoli</v>
      </c>
      <c r="K376" s="1" t="e">
        <f>VLOOKUP(B376,'Leghe Fantacalcio'!A:I,1,FALSE)</f>
        <v>#N/A</v>
      </c>
      <c r="L376" s="1">
        <f>IF(ISNA(VLOOKUP(A376,'Leghe Fantacalcio'!A:I,2,FALSE)),"",VLOOKUP(A376,'Leghe Fantacalcio'!A:I,2,FALSE))</f>
        <v>7563</v>
      </c>
      <c r="M376" s="1" t="str">
        <f>IF(ISNA(VLOOKUP(B376,'Leghe Fantacalcio'!A:I,2,FALSE)),"",VLOOKUP(B376,'Leghe Fantacalcio'!A:I,2,FALSE))</f>
        <v/>
      </c>
      <c r="N376" s="1">
        <f t="shared" si="22"/>
        <v>7563</v>
      </c>
      <c r="O376" s="1">
        <f>IFERROR(VLOOKUP(N376,'Leghe Fantacalcio'!B:I,8,FALSE),0)</f>
        <v>16</v>
      </c>
      <c r="P376" s="1" t="str">
        <f t="shared" si="23"/>
        <v>update giocatori set fvm = 16 where id = 1115463;</v>
      </c>
    </row>
    <row r="377" spans="1:16" x14ac:dyDescent="0.25">
      <c r="A377" s="1" t="str">
        <f t="shared" si="20"/>
        <v>GilmourNapoli</v>
      </c>
      <c r="B377" s="1" t="str">
        <f t="shared" si="21"/>
        <v>Gilmour B.Napoli</v>
      </c>
      <c r="C377" s="1">
        <v>1071942</v>
      </c>
      <c r="D377" s="1" t="s">
        <v>383</v>
      </c>
      <c r="E377" s="1" t="s">
        <v>597</v>
      </c>
      <c r="F377" s="1" t="s">
        <v>32</v>
      </c>
      <c r="G377" s="1" t="s">
        <v>283</v>
      </c>
      <c r="H377" s="1">
        <v>6</v>
      </c>
      <c r="I377" s="1">
        <v>11</v>
      </c>
      <c r="J377" s="1" t="str">
        <f>VLOOKUP(A377,'Leghe Fantacalcio'!A:I,1,FALSE)</f>
        <v>GilmourNapoli</v>
      </c>
      <c r="K377" s="1" t="e">
        <f>VLOOKUP(B377,'Leghe Fantacalcio'!A:I,1,FALSE)</f>
        <v>#N/A</v>
      </c>
      <c r="L377" s="1">
        <f>IF(ISNA(VLOOKUP(A377,'Leghe Fantacalcio'!A:I,2,FALSE)),"",VLOOKUP(A377,'Leghe Fantacalcio'!A:I,2,FALSE))</f>
        <v>5131</v>
      </c>
      <c r="M377" s="1" t="str">
        <f>IF(ISNA(VLOOKUP(B377,'Leghe Fantacalcio'!A:I,2,FALSE)),"",VLOOKUP(B377,'Leghe Fantacalcio'!A:I,2,FALSE))</f>
        <v/>
      </c>
      <c r="N377" s="1">
        <f t="shared" si="22"/>
        <v>5131</v>
      </c>
      <c r="O377" s="1">
        <f>IFERROR(VLOOKUP(N377,'Leghe Fantacalcio'!B:I,8,FALSE),0)</f>
        <v>10</v>
      </c>
      <c r="P377" s="1" t="str">
        <f t="shared" si="23"/>
        <v>update giocatori set fvm = 10 where id = 1071942;</v>
      </c>
    </row>
    <row r="378" spans="1:16" x14ac:dyDescent="0.25">
      <c r="A378" s="1" t="str">
        <f t="shared" si="20"/>
        <v>GiovaneNapoli</v>
      </c>
      <c r="B378" s="1" t="str">
        <f t="shared" si="21"/>
        <v>Giovane Napoli</v>
      </c>
      <c r="C378" s="1">
        <v>1119900</v>
      </c>
      <c r="D378" s="1" t="s">
        <v>554</v>
      </c>
      <c r="E378" s="1" t="s">
        <v>579</v>
      </c>
      <c r="F378" s="1" t="s">
        <v>32</v>
      </c>
      <c r="G378" s="1" t="s">
        <v>478</v>
      </c>
      <c r="H378" s="1">
        <v>6</v>
      </c>
      <c r="I378" s="1">
        <v>14</v>
      </c>
      <c r="J378" s="1" t="str">
        <f>VLOOKUP(A378,'Leghe Fantacalcio'!A:I,1,FALSE)</f>
        <v>GiovaneNapoli</v>
      </c>
      <c r="K378" s="1" t="e">
        <f>VLOOKUP(B378,'Leghe Fantacalcio'!A:I,1,FALSE)</f>
        <v>#N/A</v>
      </c>
      <c r="L378" s="1">
        <f>IF(ISNA(VLOOKUP(A378,'Leghe Fantacalcio'!A:I,2,FALSE)),"",VLOOKUP(A378,'Leghe Fantacalcio'!A:I,2,FALSE))</f>
        <v>7162</v>
      </c>
      <c r="M378" s="1" t="str">
        <f>IF(ISNA(VLOOKUP(B378,'Leghe Fantacalcio'!A:I,2,FALSE)),"",VLOOKUP(B378,'Leghe Fantacalcio'!A:I,2,FALSE))</f>
        <v/>
      </c>
      <c r="N378" s="1">
        <f t="shared" si="22"/>
        <v>7162</v>
      </c>
      <c r="O378" s="1">
        <f>IFERROR(VLOOKUP(N378,'Leghe Fantacalcio'!B:I,8,FALSE),0)</f>
        <v>1</v>
      </c>
      <c r="P378" s="1" t="str">
        <f t="shared" si="23"/>
        <v>update giocatori set fvm = 1 where id = 1119900;</v>
      </c>
    </row>
    <row r="379" spans="1:16" x14ac:dyDescent="0.25">
      <c r="A379" s="1" t="str">
        <f t="shared" si="20"/>
        <v>HojlundNapoli</v>
      </c>
      <c r="B379" s="1" t="str">
        <f t="shared" si="21"/>
        <v>Hojlund R.Napoli</v>
      </c>
      <c r="C379" s="1">
        <v>1102774</v>
      </c>
      <c r="D379" s="1" t="s">
        <v>482</v>
      </c>
      <c r="E379" s="1" t="s">
        <v>581</v>
      </c>
      <c r="F379" s="1" t="s">
        <v>32</v>
      </c>
      <c r="G379" s="1" t="s">
        <v>478</v>
      </c>
      <c r="H379" s="1">
        <v>6</v>
      </c>
      <c r="I379" s="1">
        <v>52</v>
      </c>
      <c r="J379" s="1" t="str">
        <f>VLOOKUP(A379,'Leghe Fantacalcio'!A:I,1,FALSE)</f>
        <v>HojlundNapoli</v>
      </c>
      <c r="K379" s="1" t="e">
        <f>VLOOKUP(B379,'Leghe Fantacalcio'!A:I,1,FALSE)</f>
        <v>#N/A</v>
      </c>
      <c r="L379" s="1">
        <f>IF(ISNA(VLOOKUP(A379,'Leghe Fantacalcio'!A:I,2,FALSE)),"",VLOOKUP(A379,'Leghe Fantacalcio'!A:I,2,FALSE))</f>
        <v>6052</v>
      </c>
      <c r="M379" s="1" t="str">
        <f>IF(ISNA(VLOOKUP(B379,'Leghe Fantacalcio'!A:I,2,FALSE)),"",VLOOKUP(B379,'Leghe Fantacalcio'!A:I,2,FALSE))</f>
        <v/>
      </c>
      <c r="N379" s="1">
        <f t="shared" si="22"/>
        <v>6052</v>
      </c>
      <c r="O379" s="1">
        <f>IFERROR(VLOOKUP(N379,'Leghe Fantacalcio'!B:I,8,FALSE),0)</f>
        <v>240</v>
      </c>
      <c r="P379" s="1" t="str">
        <f t="shared" si="23"/>
        <v>update giocatori set fvm = 240 where id = 1102774;</v>
      </c>
    </row>
    <row r="380" spans="1:16" x14ac:dyDescent="0.25">
      <c r="A380" s="1" t="str">
        <f t="shared" si="20"/>
        <v>LangNapoli</v>
      </c>
      <c r="B380" s="1" t="str">
        <f t="shared" si="21"/>
        <v>Lang N.Napoli</v>
      </c>
      <c r="C380" s="1">
        <v>1066187</v>
      </c>
      <c r="D380" s="1" t="s">
        <v>547</v>
      </c>
      <c r="E380" s="1" t="s">
        <v>578</v>
      </c>
      <c r="F380" s="1" t="s">
        <v>32</v>
      </c>
      <c r="G380" s="1" t="s">
        <v>478</v>
      </c>
      <c r="H380" s="1">
        <v>6</v>
      </c>
      <c r="I380" s="1">
        <v>30</v>
      </c>
      <c r="J380" s="1" t="str">
        <f>VLOOKUP(A380,'Leghe Fantacalcio'!A:I,1,FALSE)</f>
        <v>LangNapoli</v>
      </c>
      <c r="K380" s="1" t="e">
        <f>VLOOKUP(B380,'Leghe Fantacalcio'!A:I,1,FALSE)</f>
        <v>#N/A</v>
      </c>
      <c r="L380" s="1">
        <f>IF(ISNA(VLOOKUP(A380,'Leghe Fantacalcio'!A:I,2,FALSE)),"",VLOOKUP(A380,'Leghe Fantacalcio'!A:I,2,FALSE))</f>
        <v>7120</v>
      </c>
      <c r="M380" s="1" t="str">
        <f>IF(ISNA(VLOOKUP(B380,'Leghe Fantacalcio'!A:I,2,FALSE)),"",VLOOKUP(B380,'Leghe Fantacalcio'!A:I,2,FALSE))</f>
        <v/>
      </c>
      <c r="N380" s="1">
        <f t="shared" si="22"/>
        <v>7120</v>
      </c>
      <c r="O380" s="1">
        <f>IFERROR(VLOOKUP(N380,'Leghe Fantacalcio'!B:I,8,FALSE),0)</f>
        <v>12</v>
      </c>
      <c r="P380" s="1" t="str">
        <f t="shared" si="23"/>
        <v>update giocatori set fvm = 12 where id = 1066187;</v>
      </c>
    </row>
    <row r="381" spans="1:16" x14ac:dyDescent="0.25">
      <c r="A381" s="1" t="str">
        <f t="shared" si="20"/>
        <v>LobotkaNapoli</v>
      </c>
      <c r="B381" s="1" t="str">
        <f t="shared" si="21"/>
        <v>Lobotka S.Napoli</v>
      </c>
      <c r="C381" s="1">
        <v>1044090</v>
      </c>
      <c r="D381" s="1" t="s">
        <v>322</v>
      </c>
      <c r="E381" s="1" t="s">
        <v>580</v>
      </c>
      <c r="F381" s="1" t="s">
        <v>32</v>
      </c>
      <c r="G381" s="1" t="s">
        <v>283</v>
      </c>
      <c r="H381" s="1">
        <v>6</v>
      </c>
      <c r="I381" s="1">
        <v>24</v>
      </c>
      <c r="J381" s="1" t="str">
        <f>VLOOKUP(A381,'Leghe Fantacalcio'!A:I,1,FALSE)</f>
        <v>LobotkaNapoli</v>
      </c>
      <c r="K381" s="1" t="e">
        <f>VLOOKUP(B381,'Leghe Fantacalcio'!A:I,1,FALSE)</f>
        <v>#N/A</v>
      </c>
      <c r="L381" s="1">
        <f>IF(ISNA(VLOOKUP(A381,'Leghe Fantacalcio'!A:I,2,FALSE)),"",VLOOKUP(A381,'Leghe Fantacalcio'!A:I,2,FALSE))</f>
        <v>4287</v>
      </c>
      <c r="M381" s="1" t="str">
        <f>IF(ISNA(VLOOKUP(B381,'Leghe Fantacalcio'!A:I,2,FALSE)),"",VLOOKUP(B381,'Leghe Fantacalcio'!A:I,2,FALSE))</f>
        <v/>
      </c>
      <c r="N381" s="1">
        <f t="shared" si="22"/>
        <v>4287</v>
      </c>
      <c r="O381" s="1">
        <f>IFERROR(VLOOKUP(N381,'Leghe Fantacalcio'!B:I,8,FALSE),0)</f>
        <v>28</v>
      </c>
      <c r="P381" s="1" t="str">
        <f t="shared" si="23"/>
        <v>update giocatori set fvm = 28 where id = 1044090;</v>
      </c>
    </row>
    <row r="382" spans="1:16" x14ac:dyDescent="0.25">
      <c r="A382" s="1" t="str">
        <f t="shared" si="20"/>
        <v>LuccaNapoli</v>
      </c>
      <c r="B382" s="1" t="str">
        <f t="shared" si="21"/>
        <v>Lucca L.Napoli</v>
      </c>
      <c r="C382" s="1">
        <v>1110216</v>
      </c>
      <c r="D382" s="1" t="s">
        <v>555</v>
      </c>
      <c r="E382" s="1" t="s">
        <v>590</v>
      </c>
      <c r="F382" s="1" t="s">
        <v>32</v>
      </c>
      <c r="G382" s="1" t="s">
        <v>478</v>
      </c>
      <c r="H382" s="1">
        <v>6</v>
      </c>
      <c r="I382" s="1">
        <v>23</v>
      </c>
      <c r="J382" s="1" t="str">
        <f>VLOOKUP(A382,'Leghe Fantacalcio'!A:I,1,FALSE)</f>
        <v>LuccaNapoli</v>
      </c>
      <c r="K382" s="1" t="e">
        <f>VLOOKUP(B382,'Leghe Fantacalcio'!A:I,1,FALSE)</f>
        <v>#N/A</v>
      </c>
      <c r="L382" s="1">
        <f>IF(ISNA(VLOOKUP(A382,'Leghe Fantacalcio'!A:I,2,FALSE)),"",VLOOKUP(A382,'Leghe Fantacalcio'!A:I,2,FALSE))</f>
        <v>6215</v>
      </c>
      <c r="M382" s="1" t="str">
        <f>IF(ISNA(VLOOKUP(B382,'Leghe Fantacalcio'!A:I,2,FALSE)),"",VLOOKUP(B382,'Leghe Fantacalcio'!A:I,2,FALSE))</f>
        <v/>
      </c>
      <c r="N382" s="1">
        <f t="shared" si="22"/>
        <v>6215</v>
      </c>
      <c r="O382" s="1">
        <f>IFERROR(VLOOKUP(N382,'Leghe Fantacalcio'!B:I,8,FALSE),0)</f>
        <v>11</v>
      </c>
      <c r="P382" s="1" t="str">
        <f t="shared" si="23"/>
        <v>update giocatori set fvm = 11 where id = 1110216;</v>
      </c>
    </row>
    <row r="383" spans="1:16" x14ac:dyDescent="0.25">
      <c r="A383" s="1" t="str">
        <f t="shared" si="20"/>
        <v>MarianucciNapoli</v>
      </c>
      <c r="B383" s="1" t="str">
        <f t="shared" si="21"/>
        <v>Marianucci L.Napoli</v>
      </c>
      <c r="C383" s="1">
        <v>1118189</v>
      </c>
      <c r="D383" s="1" t="s">
        <v>269</v>
      </c>
      <c r="E383" s="1" t="s">
        <v>590</v>
      </c>
      <c r="F383" s="1" t="s">
        <v>32</v>
      </c>
      <c r="G383" s="1" t="s">
        <v>92</v>
      </c>
      <c r="H383" s="1">
        <v>6</v>
      </c>
      <c r="I383" s="1">
        <v>3</v>
      </c>
      <c r="J383" s="1" t="str">
        <f>VLOOKUP(A383,'Leghe Fantacalcio'!A:I,1,FALSE)</f>
        <v>MarianucciNapoli</v>
      </c>
      <c r="K383" s="1" t="e">
        <f>VLOOKUP(B383,'Leghe Fantacalcio'!A:I,1,FALSE)</f>
        <v>#N/A</v>
      </c>
      <c r="L383" s="1">
        <f>IF(ISNA(VLOOKUP(A383,'Leghe Fantacalcio'!A:I,2,FALSE)),"",VLOOKUP(A383,'Leghe Fantacalcio'!A:I,2,FALSE))</f>
        <v>6809</v>
      </c>
      <c r="M383" s="1" t="str">
        <f>IF(ISNA(VLOOKUP(B383,'Leghe Fantacalcio'!A:I,2,FALSE)),"",VLOOKUP(B383,'Leghe Fantacalcio'!A:I,2,FALSE))</f>
        <v/>
      </c>
      <c r="N383" s="1">
        <f t="shared" si="22"/>
        <v>6809</v>
      </c>
      <c r="O383" s="1">
        <f>IFERROR(VLOOKUP(N383,'Leghe Fantacalcio'!B:I,8,FALSE),0)</f>
        <v>3</v>
      </c>
      <c r="P383" s="1" t="str">
        <f t="shared" si="23"/>
        <v>update giocatori set fvm = 3 where id = 1118189;</v>
      </c>
    </row>
    <row r="384" spans="1:16" x14ac:dyDescent="0.25">
      <c r="A384" s="1" t="str">
        <f t="shared" si="20"/>
        <v>McTominayNapoli</v>
      </c>
      <c r="B384" s="1" t="str">
        <f t="shared" si="21"/>
        <v>McTominay S.Napoli</v>
      </c>
      <c r="C384" s="1">
        <v>1062529</v>
      </c>
      <c r="D384" s="1" t="s">
        <v>288</v>
      </c>
      <c r="E384" s="1" t="s">
        <v>580</v>
      </c>
      <c r="F384" s="1" t="s">
        <v>32</v>
      </c>
      <c r="G384" s="1" t="s">
        <v>283</v>
      </c>
      <c r="H384" s="1">
        <v>6</v>
      </c>
      <c r="I384" s="1">
        <v>36</v>
      </c>
      <c r="J384" s="1" t="str">
        <f>VLOOKUP(A384,'Leghe Fantacalcio'!A:I,1,FALSE)</f>
        <v>McTominayNapoli</v>
      </c>
      <c r="K384" s="1" t="e">
        <f>VLOOKUP(B384,'Leghe Fantacalcio'!A:I,1,FALSE)</f>
        <v>#N/A</v>
      </c>
      <c r="L384" s="1">
        <f>IF(ISNA(VLOOKUP(A384,'Leghe Fantacalcio'!A:I,2,FALSE)),"",VLOOKUP(A384,'Leghe Fantacalcio'!A:I,2,FALSE))</f>
        <v>4777</v>
      </c>
      <c r="M384" s="1" t="str">
        <f>IF(ISNA(VLOOKUP(B384,'Leghe Fantacalcio'!A:I,2,FALSE)),"",VLOOKUP(B384,'Leghe Fantacalcio'!A:I,2,FALSE))</f>
        <v/>
      </c>
      <c r="N384" s="1">
        <f t="shared" si="22"/>
        <v>4777</v>
      </c>
      <c r="O384" s="1">
        <f>IFERROR(VLOOKUP(N384,'Leghe Fantacalcio'!B:I,8,FALSE),0)</f>
        <v>120</v>
      </c>
      <c r="P384" s="1" t="str">
        <f t="shared" si="23"/>
        <v>update giocatori set fvm = 120 where id = 1062529;</v>
      </c>
    </row>
    <row r="385" spans="1:16" x14ac:dyDescent="0.25">
      <c r="A385" s="1" t="str">
        <f t="shared" si="20"/>
        <v>MeretNapoli</v>
      </c>
      <c r="B385" s="1" t="str">
        <f t="shared" si="21"/>
        <v>Meret A.Napoli</v>
      </c>
      <c r="C385" s="1">
        <v>1049089</v>
      </c>
      <c r="D385" s="1" t="s">
        <v>31</v>
      </c>
      <c r="E385" s="1" t="s">
        <v>584</v>
      </c>
      <c r="F385" s="1" t="s">
        <v>32</v>
      </c>
      <c r="G385" s="1" t="s">
        <v>8</v>
      </c>
      <c r="H385" s="1">
        <v>6</v>
      </c>
      <c r="I385" s="1">
        <v>10</v>
      </c>
      <c r="J385" s="1" t="str">
        <f>VLOOKUP(A385,'Leghe Fantacalcio'!A:I,1,FALSE)</f>
        <v>MeretNapoli</v>
      </c>
      <c r="K385" s="1" t="e">
        <f>VLOOKUP(B385,'Leghe Fantacalcio'!A:I,1,FALSE)</f>
        <v>#N/A</v>
      </c>
      <c r="L385" s="1">
        <f>IF(ISNA(VLOOKUP(A385,'Leghe Fantacalcio'!A:I,2,FALSE)),"",VLOOKUP(A385,'Leghe Fantacalcio'!A:I,2,FALSE))</f>
        <v>572</v>
      </c>
      <c r="M385" s="1" t="str">
        <f>IF(ISNA(VLOOKUP(B385,'Leghe Fantacalcio'!A:I,2,FALSE)),"",VLOOKUP(B385,'Leghe Fantacalcio'!A:I,2,FALSE))</f>
        <v/>
      </c>
      <c r="N385" s="1">
        <f t="shared" si="22"/>
        <v>572</v>
      </c>
      <c r="O385" s="1">
        <f>IFERROR(VLOOKUP(N385,'Leghe Fantacalcio'!B:I,8,FALSE),0)</f>
        <v>40</v>
      </c>
      <c r="P385" s="1" t="str">
        <f t="shared" si="23"/>
        <v>update giocatori set fvm = 40 where id = 1049089;</v>
      </c>
    </row>
    <row r="386" spans="1:16" x14ac:dyDescent="0.25">
      <c r="A386" s="1" t="str">
        <f t="shared" ref="A386:A449" si="24">CONCATENATE(D386,F386)</f>
        <v>Milinkovic-SavicNapoli</v>
      </c>
      <c r="B386" s="1" t="str">
        <f t="shared" si="21"/>
        <v>Milinkovic-Savic V.Napoli</v>
      </c>
      <c r="C386" s="1">
        <v>1044633</v>
      </c>
      <c r="D386" s="1" t="s">
        <v>594</v>
      </c>
      <c r="E386" s="1" t="s">
        <v>595</v>
      </c>
      <c r="F386" s="1" t="s">
        <v>32</v>
      </c>
      <c r="G386" s="1" t="s">
        <v>8</v>
      </c>
      <c r="H386" s="1">
        <v>6</v>
      </c>
      <c r="I386" s="1">
        <v>15</v>
      </c>
      <c r="J386" s="1" t="e">
        <f>VLOOKUP(A386,'Leghe Fantacalcio'!A:I,1,FALSE)</f>
        <v>#N/A</v>
      </c>
      <c r="K386" s="1" t="str">
        <f>VLOOKUP(B386,'Leghe Fantacalcio'!A:I,1,FALSE)</f>
        <v>Milinkovic-Savic V.Napoli</v>
      </c>
      <c r="L386" s="1" t="str">
        <f>IF(ISNA(VLOOKUP(A386,'Leghe Fantacalcio'!A:I,2,FALSE)),"",VLOOKUP(A386,'Leghe Fantacalcio'!A:I,2,FALSE))</f>
        <v/>
      </c>
      <c r="M386" s="1">
        <f>IF(ISNA(VLOOKUP(B386,'Leghe Fantacalcio'!A:I,2,FALSE)),"",VLOOKUP(B386,'Leghe Fantacalcio'!A:I,2,FALSE))</f>
        <v>2170</v>
      </c>
      <c r="N386" s="1">
        <f t="shared" si="22"/>
        <v>2170</v>
      </c>
      <c r="O386" s="1">
        <f>IFERROR(VLOOKUP(N386,'Leghe Fantacalcio'!B:I,8,FALSE),0)</f>
        <v>13</v>
      </c>
      <c r="P386" s="1" t="str">
        <f t="shared" si="23"/>
        <v>update giocatori set fvm = 13 where id = 1044633;</v>
      </c>
    </row>
    <row r="387" spans="1:16" x14ac:dyDescent="0.25">
      <c r="A387" s="1" t="str">
        <f t="shared" si="24"/>
        <v>OliveraNapoli</v>
      </c>
      <c r="B387" s="1" t="str">
        <f t="shared" ref="B387:B450" si="25">CONCATENATE(D387," ",E387,F387)</f>
        <v>Olivera M.Napoli</v>
      </c>
      <c r="C387" s="1">
        <v>1064709</v>
      </c>
      <c r="D387" s="1" t="s">
        <v>213</v>
      </c>
      <c r="E387" s="1" t="s">
        <v>572</v>
      </c>
      <c r="F387" s="1" t="s">
        <v>32</v>
      </c>
      <c r="G387" s="1" t="s">
        <v>92</v>
      </c>
      <c r="H387" s="1">
        <v>6</v>
      </c>
      <c r="I387" s="1">
        <v>9</v>
      </c>
      <c r="J387" s="1" t="str">
        <f>VLOOKUP(A387,'Leghe Fantacalcio'!A:I,1,FALSE)</f>
        <v>OliveraNapoli</v>
      </c>
      <c r="K387" s="1" t="e">
        <f>VLOOKUP(B387,'Leghe Fantacalcio'!A:I,1,FALSE)</f>
        <v>#N/A</v>
      </c>
      <c r="L387" s="1">
        <f>IF(ISNA(VLOOKUP(A387,'Leghe Fantacalcio'!A:I,2,FALSE)),"",VLOOKUP(A387,'Leghe Fantacalcio'!A:I,2,FALSE))</f>
        <v>5840</v>
      </c>
      <c r="M387" s="1" t="str">
        <f>IF(ISNA(VLOOKUP(B387,'Leghe Fantacalcio'!A:I,2,FALSE)),"",VLOOKUP(B387,'Leghe Fantacalcio'!A:I,2,FALSE))</f>
        <v/>
      </c>
      <c r="N387" s="1">
        <f t="shared" ref="N387:N450" si="26">IFERROR(VALUE(CONCATENATE(L387,M387)),"")</f>
        <v>5840</v>
      </c>
      <c r="O387" s="1">
        <f>IFERROR(VLOOKUP(N387,'Leghe Fantacalcio'!B:I,8,FALSE),0)</f>
        <v>10</v>
      </c>
      <c r="P387" s="1" t="str">
        <f t="shared" ref="P387:P450" si="27">CONCATENATE("update giocatori set fvm = ",O387," where id = ",C387,";")</f>
        <v>update giocatori set fvm = 10 where id = 1064709;</v>
      </c>
    </row>
    <row r="388" spans="1:16" x14ac:dyDescent="0.25">
      <c r="A388" s="1" t="str">
        <f t="shared" si="24"/>
        <v>PolitanoNapoli</v>
      </c>
      <c r="B388" s="1" t="str">
        <f t="shared" si="25"/>
        <v>Politano M.Napoli</v>
      </c>
      <c r="C388" s="1">
        <v>1040864</v>
      </c>
      <c r="D388" s="1" t="s">
        <v>323</v>
      </c>
      <c r="E388" s="1" t="s">
        <v>572</v>
      </c>
      <c r="F388" s="1" t="s">
        <v>32</v>
      </c>
      <c r="G388" s="1" t="s">
        <v>283</v>
      </c>
      <c r="H388" s="1">
        <v>6</v>
      </c>
      <c r="I388" s="1">
        <v>30</v>
      </c>
      <c r="J388" s="1" t="str">
        <f>VLOOKUP(A388,'Leghe Fantacalcio'!A:I,1,FALSE)</f>
        <v>PolitanoNapoli</v>
      </c>
      <c r="K388" s="1" t="e">
        <f>VLOOKUP(B388,'Leghe Fantacalcio'!A:I,1,FALSE)</f>
        <v>#N/A</v>
      </c>
      <c r="L388" s="1">
        <f>IF(ISNA(VLOOKUP(A388,'Leghe Fantacalcio'!A:I,2,FALSE)),"",VLOOKUP(A388,'Leghe Fantacalcio'!A:I,2,FALSE))</f>
        <v>536</v>
      </c>
      <c r="M388" s="1" t="str">
        <f>IF(ISNA(VLOOKUP(B388,'Leghe Fantacalcio'!A:I,2,FALSE)),"",VLOOKUP(B388,'Leghe Fantacalcio'!A:I,2,FALSE))</f>
        <v/>
      </c>
      <c r="N388" s="1">
        <f t="shared" si="26"/>
        <v>536</v>
      </c>
      <c r="O388" s="1">
        <f>IFERROR(VLOOKUP(N388,'Leghe Fantacalcio'!B:I,8,FALSE),0)</f>
        <v>42</v>
      </c>
      <c r="P388" s="1" t="str">
        <f t="shared" si="27"/>
        <v>update giocatori set fvm = 42 where id = 1040864;</v>
      </c>
    </row>
    <row r="389" spans="1:16" ht="14.5" x14ac:dyDescent="0.35">
      <c r="A389" s="1" t="str">
        <f t="shared" si="24"/>
        <v>Marin R.Napoli</v>
      </c>
      <c r="B389" s="1" t="str">
        <f t="shared" si="25"/>
        <v>Marin R. Napoli</v>
      </c>
      <c r="C389" s="1">
        <v>1111873</v>
      </c>
      <c r="D389" t="s">
        <v>246</v>
      </c>
      <c r="E389" s="1" t="s">
        <v>579</v>
      </c>
      <c r="F389" s="1" t="s">
        <v>32</v>
      </c>
      <c r="G389" s="1" t="s">
        <v>92</v>
      </c>
      <c r="H389" s="1">
        <v>6</v>
      </c>
      <c r="I389" s="1">
        <v>6</v>
      </c>
      <c r="J389" s="1" t="str">
        <f>VLOOKUP(A389,'Leghe Fantacalcio'!A:I,1,FALSE)</f>
        <v>Marin R.Napoli</v>
      </c>
      <c r="K389" s="1" t="e">
        <f>VLOOKUP(B389,'Leghe Fantacalcio'!A:I,1,FALSE)</f>
        <v>#N/A</v>
      </c>
      <c r="L389" s="1">
        <f>IF(ISNA(VLOOKUP(A389,'Leghe Fantacalcio'!A:I,2,FALSE)),"",VLOOKUP(A389,'Leghe Fantacalcio'!A:I,2,FALSE))</f>
        <v>6638</v>
      </c>
      <c r="M389" s="1" t="str">
        <f>IF(ISNA(VLOOKUP(B389,'Leghe Fantacalcio'!A:I,2,FALSE)),"",VLOOKUP(B389,'Leghe Fantacalcio'!A:I,2,FALSE))</f>
        <v/>
      </c>
      <c r="N389" s="1">
        <f t="shared" si="26"/>
        <v>6638</v>
      </c>
      <c r="O389" s="1">
        <f>IFERROR(VLOOKUP(N389,'Leghe Fantacalcio'!B:I,8,FALSE),0)</f>
        <v>13</v>
      </c>
      <c r="P389" s="1" t="str">
        <f t="shared" si="27"/>
        <v>update giocatori set fvm = 13 where id = 1111873;</v>
      </c>
    </row>
    <row r="390" spans="1:16" x14ac:dyDescent="0.25">
      <c r="A390" s="1" t="str">
        <f t="shared" si="24"/>
        <v>RrahmaniNapoli</v>
      </c>
      <c r="B390" s="1" t="str">
        <f t="shared" si="25"/>
        <v>Rrahmani A.Napoli</v>
      </c>
      <c r="C390" s="1">
        <v>1051495</v>
      </c>
      <c r="D390" s="1" t="s">
        <v>97</v>
      </c>
      <c r="E390" s="1" t="s">
        <v>584</v>
      </c>
      <c r="F390" s="1" t="s">
        <v>32</v>
      </c>
      <c r="G390" s="1" t="s">
        <v>92</v>
      </c>
      <c r="H390" s="1">
        <v>6</v>
      </c>
      <c r="I390" s="1">
        <v>15</v>
      </c>
      <c r="J390" s="1" t="str">
        <f>VLOOKUP(A390,'Leghe Fantacalcio'!A:I,1,FALSE)</f>
        <v>RrahmaniNapoli</v>
      </c>
      <c r="K390" s="1" t="e">
        <f>VLOOKUP(B390,'Leghe Fantacalcio'!A:I,1,FALSE)</f>
        <v>#N/A</v>
      </c>
      <c r="L390" s="1">
        <f>IF(ISNA(VLOOKUP(A390,'Leghe Fantacalcio'!A:I,2,FALSE)),"",VLOOKUP(A390,'Leghe Fantacalcio'!A:I,2,FALSE))</f>
        <v>4409</v>
      </c>
      <c r="M390" s="1" t="str">
        <f>IF(ISNA(VLOOKUP(B390,'Leghe Fantacalcio'!A:I,2,FALSE)),"",VLOOKUP(B390,'Leghe Fantacalcio'!A:I,2,FALSE))</f>
        <v/>
      </c>
      <c r="N390" s="1">
        <f t="shared" si="26"/>
        <v>4409</v>
      </c>
      <c r="O390" s="1">
        <f>IFERROR(VLOOKUP(N390,'Leghe Fantacalcio'!B:I,8,FALSE),0)</f>
        <v>53</v>
      </c>
      <c r="P390" s="1" t="str">
        <f t="shared" si="27"/>
        <v>update giocatori set fvm = 53 where id = 1051495;</v>
      </c>
    </row>
    <row r="391" spans="1:16" x14ac:dyDescent="0.25">
      <c r="A391" s="1" t="str">
        <f t="shared" si="24"/>
        <v>SpinazzolaNapoli</v>
      </c>
      <c r="B391" s="1" t="str">
        <f t="shared" si="25"/>
        <v>Spinazzola L.Napoli</v>
      </c>
      <c r="C391" s="1">
        <v>1026211</v>
      </c>
      <c r="D391" s="1" t="s">
        <v>137</v>
      </c>
      <c r="E391" s="1" t="s">
        <v>590</v>
      </c>
      <c r="F391" s="1" t="s">
        <v>32</v>
      </c>
      <c r="G391" s="1" t="s">
        <v>92</v>
      </c>
      <c r="H391" s="1">
        <v>6</v>
      </c>
      <c r="I391" s="1">
        <v>15</v>
      </c>
      <c r="J391" s="1" t="str">
        <f>VLOOKUP(A391,'Leghe Fantacalcio'!A:I,1,FALSE)</f>
        <v>SpinazzolaNapoli</v>
      </c>
      <c r="K391" s="1" t="e">
        <f>VLOOKUP(B391,'Leghe Fantacalcio'!A:I,1,FALSE)</f>
        <v>#N/A</v>
      </c>
      <c r="L391" s="1">
        <f>IF(ISNA(VLOOKUP(A391,'Leghe Fantacalcio'!A:I,2,FALSE)),"",VLOOKUP(A391,'Leghe Fantacalcio'!A:I,2,FALSE))</f>
        <v>1852</v>
      </c>
      <c r="M391" s="1" t="str">
        <f>IF(ISNA(VLOOKUP(B391,'Leghe Fantacalcio'!A:I,2,FALSE)),"",VLOOKUP(B391,'Leghe Fantacalcio'!A:I,2,FALSE))</f>
        <v/>
      </c>
      <c r="N391" s="1">
        <f t="shared" si="26"/>
        <v>1852</v>
      </c>
      <c r="O391" s="1">
        <f>IFERROR(VLOOKUP(N391,'Leghe Fantacalcio'!B:I,8,FALSE),0)</f>
        <v>21</v>
      </c>
      <c r="P391" s="1" t="str">
        <f t="shared" si="27"/>
        <v>update giocatori set fvm = 21 where id = 1026211;</v>
      </c>
    </row>
    <row r="392" spans="1:16" x14ac:dyDescent="0.25">
      <c r="A392" s="1" t="str">
        <f t="shared" si="24"/>
        <v>VergaraNapoli</v>
      </c>
      <c r="B392" s="1" t="str">
        <f t="shared" si="25"/>
        <v>Vergara A.Napoli</v>
      </c>
      <c r="C392" s="1">
        <v>1111808</v>
      </c>
      <c r="D392" s="1" t="s">
        <v>339</v>
      </c>
      <c r="E392" s="1" t="s">
        <v>584</v>
      </c>
      <c r="F392" s="1" t="s">
        <v>32</v>
      </c>
      <c r="G392" s="1" t="s">
        <v>283</v>
      </c>
      <c r="H392" s="1">
        <v>6</v>
      </c>
      <c r="I392" s="1">
        <v>20</v>
      </c>
      <c r="J392" s="1" t="str">
        <f>VLOOKUP(A392,'Leghe Fantacalcio'!A:I,1,FALSE)</f>
        <v>VergaraNapoli</v>
      </c>
      <c r="K392" s="1" t="e">
        <f>VLOOKUP(B392,'Leghe Fantacalcio'!A:I,1,FALSE)</f>
        <v>#N/A</v>
      </c>
      <c r="L392" s="1">
        <f>IF(ISNA(VLOOKUP(A392,'Leghe Fantacalcio'!A:I,2,FALSE)),"",VLOOKUP(A392,'Leghe Fantacalcio'!A:I,2,FALSE))</f>
        <v>7223</v>
      </c>
      <c r="M392" s="1" t="str">
        <f>IF(ISNA(VLOOKUP(B392,'Leghe Fantacalcio'!A:I,2,FALSE)),"",VLOOKUP(B392,'Leghe Fantacalcio'!A:I,2,FALSE))</f>
        <v/>
      </c>
      <c r="N392" s="1">
        <f t="shared" si="26"/>
        <v>7223</v>
      </c>
      <c r="O392" s="1">
        <f>IFERROR(VLOOKUP(N392,'Leghe Fantacalcio'!B:I,8,FALSE),0)</f>
        <v>25</v>
      </c>
      <c r="P392" s="1" t="str">
        <f t="shared" si="27"/>
        <v>update giocatori set fvm = 25 where id = 1111808;</v>
      </c>
    </row>
    <row r="393" spans="1:16" ht="14.5" x14ac:dyDescent="0.35">
      <c r="A393" s="1" t="str">
        <f t="shared" si="24"/>
        <v>BernabèParma</v>
      </c>
      <c r="B393" s="1" t="str">
        <f t="shared" si="25"/>
        <v>Bernabè Parma</v>
      </c>
      <c r="C393" s="1">
        <v>1094911</v>
      </c>
      <c r="D393" t="s">
        <v>385</v>
      </c>
      <c r="E393" s="1" t="s">
        <v>579</v>
      </c>
      <c r="F393" s="1" t="s">
        <v>44</v>
      </c>
      <c r="G393" s="1" t="s">
        <v>283</v>
      </c>
      <c r="H393" s="1">
        <v>6</v>
      </c>
      <c r="I393" s="1">
        <v>24</v>
      </c>
      <c r="J393" s="1" t="str">
        <f>VLOOKUP(A393,'Leghe Fantacalcio'!A:I,1,FALSE)</f>
        <v>BernabèParma</v>
      </c>
      <c r="K393" s="1" t="e">
        <f>VLOOKUP(B393,'Leghe Fantacalcio'!A:I,1,FALSE)</f>
        <v>#N/A</v>
      </c>
      <c r="L393" s="1">
        <f>IF(ISNA(VLOOKUP(A393,'Leghe Fantacalcio'!A:I,2,FALSE)),"",VLOOKUP(A393,'Leghe Fantacalcio'!A:I,2,FALSE))</f>
        <v>6666</v>
      </c>
      <c r="M393" s="1" t="str">
        <f>IF(ISNA(VLOOKUP(B393,'Leghe Fantacalcio'!A:I,2,FALSE)),"",VLOOKUP(B393,'Leghe Fantacalcio'!A:I,2,FALSE))</f>
        <v/>
      </c>
      <c r="N393" s="1">
        <f t="shared" si="26"/>
        <v>6666</v>
      </c>
      <c r="O393" s="1">
        <f>IFERROR(VLOOKUP(N393,'Leghe Fantacalcio'!B:I,8,FALSE),0)</f>
        <v>27</v>
      </c>
      <c r="P393" s="1" t="str">
        <f t="shared" si="27"/>
        <v>update giocatori set fvm = 27 where id = 1094911;</v>
      </c>
    </row>
    <row r="394" spans="1:16" x14ac:dyDescent="0.25">
      <c r="A394" s="1" t="str">
        <f t="shared" si="24"/>
        <v>AlmqvistParma</v>
      </c>
      <c r="B394" s="1" t="str">
        <f t="shared" si="25"/>
        <v>Almqvist P.Parma</v>
      </c>
      <c r="C394" s="1">
        <v>1102693</v>
      </c>
      <c r="D394" s="1" t="s">
        <v>357</v>
      </c>
      <c r="E394" s="1" t="s">
        <v>585</v>
      </c>
      <c r="F394" s="1" t="s">
        <v>44</v>
      </c>
      <c r="G394" s="1" t="s">
        <v>478</v>
      </c>
      <c r="H394" s="1">
        <v>6</v>
      </c>
      <c r="I394" s="1">
        <v>17</v>
      </c>
      <c r="J394" s="1" t="str">
        <f>VLOOKUP(A394,'Leghe Fantacalcio'!A:I,1,FALSE)</f>
        <v>AlmqvistParma</v>
      </c>
      <c r="K394" s="1" t="e">
        <f>VLOOKUP(B394,'Leghe Fantacalcio'!A:I,1,FALSE)</f>
        <v>#N/A</v>
      </c>
      <c r="L394" s="1">
        <f>IF(ISNA(VLOOKUP(A394,'Leghe Fantacalcio'!A:I,2,FALSE)),"",VLOOKUP(A394,'Leghe Fantacalcio'!A:I,2,FALSE))</f>
        <v>6207</v>
      </c>
      <c r="M394" s="1" t="str">
        <f>IF(ISNA(VLOOKUP(B394,'Leghe Fantacalcio'!A:I,2,FALSE)),"",VLOOKUP(B394,'Leghe Fantacalcio'!A:I,2,FALSE))</f>
        <v/>
      </c>
      <c r="N394" s="1">
        <f t="shared" si="26"/>
        <v>6207</v>
      </c>
      <c r="O394" s="1">
        <f>IFERROR(VLOOKUP(N394,'Leghe Fantacalcio'!B:I,8,FALSE),0)</f>
        <v>12</v>
      </c>
      <c r="P394" s="1" t="str">
        <f t="shared" si="27"/>
        <v>update giocatori set fvm = 12 where id = 1102693;</v>
      </c>
    </row>
    <row r="395" spans="1:16" x14ac:dyDescent="0.25">
      <c r="A395" s="1" t="str">
        <f t="shared" si="24"/>
        <v>BritschgiParma</v>
      </c>
      <c r="B395" s="1" t="str">
        <f t="shared" si="25"/>
        <v>Britschgi S.Parma</v>
      </c>
      <c r="C395" s="1">
        <v>1120151</v>
      </c>
      <c r="D395" s="1" t="s">
        <v>215</v>
      </c>
      <c r="E395" s="1" t="s">
        <v>580</v>
      </c>
      <c r="F395" s="1" t="s">
        <v>44</v>
      </c>
      <c r="G395" s="1" t="s">
        <v>92</v>
      </c>
      <c r="H395" s="1">
        <v>6</v>
      </c>
      <c r="I395" s="1">
        <v>4</v>
      </c>
      <c r="J395" s="1" t="str">
        <f>VLOOKUP(A395,'Leghe Fantacalcio'!A:I,1,FALSE)</f>
        <v>BritschgiParma</v>
      </c>
      <c r="K395" s="1" t="e">
        <f>VLOOKUP(B395,'Leghe Fantacalcio'!A:I,1,FALSE)</f>
        <v>#N/A</v>
      </c>
      <c r="L395" s="1">
        <f>IF(ISNA(VLOOKUP(A395,'Leghe Fantacalcio'!A:I,2,FALSE)),"",VLOOKUP(A395,'Leghe Fantacalcio'!A:I,2,FALSE))</f>
        <v>7255</v>
      </c>
      <c r="M395" s="1" t="str">
        <f>IF(ISNA(VLOOKUP(B395,'Leghe Fantacalcio'!A:I,2,FALSE)),"",VLOOKUP(B395,'Leghe Fantacalcio'!A:I,2,FALSE))</f>
        <v/>
      </c>
      <c r="N395" s="1">
        <f t="shared" si="26"/>
        <v>7255</v>
      </c>
      <c r="O395" s="1">
        <f>IFERROR(VLOOKUP(N395,'Leghe Fantacalcio'!B:I,8,FALSE),0)</f>
        <v>12</v>
      </c>
      <c r="P395" s="1" t="str">
        <f t="shared" si="27"/>
        <v>update giocatori set fvm = 12 where id = 1120151;</v>
      </c>
    </row>
    <row r="396" spans="1:16" x14ac:dyDescent="0.25">
      <c r="A396" s="1" t="str">
        <f t="shared" si="24"/>
        <v>CarboniParma</v>
      </c>
      <c r="B396" s="1" t="str">
        <f t="shared" si="25"/>
        <v>Carboni F.Parma</v>
      </c>
      <c r="C396" s="1">
        <v>1102761</v>
      </c>
      <c r="D396" s="1" t="s">
        <v>609</v>
      </c>
      <c r="E396" s="1" t="s">
        <v>589</v>
      </c>
      <c r="F396" s="1" t="s">
        <v>44</v>
      </c>
      <c r="G396" s="1" t="s">
        <v>92</v>
      </c>
      <c r="H396" s="1">
        <v>6</v>
      </c>
      <c r="I396" s="1">
        <v>1</v>
      </c>
      <c r="J396" s="1" t="e">
        <f>VLOOKUP(A396,'Leghe Fantacalcio'!A:I,1,FALSE)</f>
        <v>#N/A</v>
      </c>
      <c r="K396" s="1" t="str">
        <f>VLOOKUP(B396,'Leghe Fantacalcio'!A:I,1,FALSE)</f>
        <v>Carboni F.Parma</v>
      </c>
      <c r="L396" s="1" t="str">
        <f>IF(ISNA(VLOOKUP(A396,'Leghe Fantacalcio'!A:I,2,FALSE)),"",VLOOKUP(A396,'Leghe Fantacalcio'!A:I,2,FALSE))</f>
        <v/>
      </c>
      <c r="M396" s="1">
        <f>IF(ISNA(VLOOKUP(B396,'Leghe Fantacalcio'!A:I,2,FALSE)),"",VLOOKUP(B396,'Leghe Fantacalcio'!A:I,2,FALSE))</f>
        <v>6149</v>
      </c>
      <c r="N396" s="1">
        <f t="shared" si="26"/>
        <v>6149</v>
      </c>
      <c r="O396" s="1">
        <f>IFERROR(VLOOKUP(N396,'Leghe Fantacalcio'!B:I,8,FALSE),0)</f>
        <v>3</v>
      </c>
      <c r="P396" s="1" t="str">
        <f t="shared" si="27"/>
        <v>update giocatori set fvm = 3 where id = 1102761;</v>
      </c>
    </row>
    <row r="397" spans="1:16" x14ac:dyDescent="0.25">
      <c r="A397" s="1" t="str">
        <f t="shared" si="24"/>
        <v>CasentiniParma</v>
      </c>
      <c r="B397" s="1" t="str">
        <f t="shared" si="25"/>
        <v>Casentini G.Parma</v>
      </c>
      <c r="C397" s="1">
        <v>1120282</v>
      </c>
      <c r="D397" s="1" t="s">
        <v>574</v>
      </c>
      <c r="E397" s="1" t="s">
        <v>575</v>
      </c>
      <c r="F397" s="1" t="s">
        <v>44</v>
      </c>
      <c r="G397" s="1" t="s">
        <v>8</v>
      </c>
      <c r="H397" s="1">
        <v>6</v>
      </c>
      <c r="I397" s="1">
        <v>1</v>
      </c>
      <c r="J397" s="1" t="e">
        <f>VLOOKUP(A397,'Leghe Fantacalcio'!A:I,1,FALSE)</f>
        <v>#N/A</v>
      </c>
      <c r="K397" s="1" t="e">
        <f>VLOOKUP(B397,'Leghe Fantacalcio'!A:I,1,FALSE)</f>
        <v>#N/A</v>
      </c>
      <c r="L397" s="1" t="str">
        <f>IF(ISNA(VLOOKUP(A397,'Leghe Fantacalcio'!A:I,2,FALSE)),"",VLOOKUP(A397,'Leghe Fantacalcio'!A:I,2,FALSE))</f>
        <v/>
      </c>
      <c r="M397" s="1" t="str">
        <f>IF(ISNA(VLOOKUP(B397,'Leghe Fantacalcio'!A:I,2,FALSE)),"",VLOOKUP(B397,'Leghe Fantacalcio'!A:I,2,FALSE))</f>
        <v/>
      </c>
      <c r="N397" s="1" t="str">
        <f t="shared" si="26"/>
        <v/>
      </c>
      <c r="O397" s="1">
        <f>IFERROR(VLOOKUP(N397,'Leghe Fantacalcio'!B:I,8,FALSE),0)</f>
        <v>0</v>
      </c>
      <c r="P397" s="1" t="str">
        <f t="shared" si="27"/>
        <v>update giocatori set fvm = 0 where id = 1120282;</v>
      </c>
    </row>
    <row r="398" spans="1:16" x14ac:dyDescent="0.25">
      <c r="A398" s="1" t="str">
        <f t="shared" si="24"/>
        <v>CorviParma</v>
      </c>
      <c r="B398" s="1" t="str">
        <f t="shared" si="25"/>
        <v>Corvi E.Parma</v>
      </c>
      <c r="C398" s="1">
        <v>1073141</v>
      </c>
      <c r="D398" s="1" t="s">
        <v>49</v>
      </c>
      <c r="E398" s="1" t="s">
        <v>573</v>
      </c>
      <c r="F398" s="1" t="s">
        <v>44</v>
      </c>
      <c r="G398" s="1" t="s">
        <v>8</v>
      </c>
      <c r="H398" s="1">
        <v>6</v>
      </c>
      <c r="I398" s="1">
        <v>8</v>
      </c>
      <c r="J398" s="1" t="str">
        <f>VLOOKUP(A398,'Leghe Fantacalcio'!A:I,1,FALSE)</f>
        <v>CorviParma</v>
      </c>
      <c r="K398" s="1" t="e">
        <f>VLOOKUP(B398,'Leghe Fantacalcio'!A:I,1,FALSE)</f>
        <v>#N/A</v>
      </c>
      <c r="L398" s="1">
        <f>IF(ISNA(VLOOKUP(A398,'Leghe Fantacalcio'!A:I,2,FALSE)),"",VLOOKUP(A398,'Leghe Fantacalcio'!A:I,2,FALSE))</f>
        <v>6662</v>
      </c>
      <c r="M398" s="1" t="str">
        <f>IF(ISNA(VLOOKUP(B398,'Leghe Fantacalcio'!A:I,2,FALSE)),"",VLOOKUP(B398,'Leghe Fantacalcio'!A:I,2,FALSE))</f>
        <v/>
      </c>
      <c r="N398" s="1">
        <f t="shared" si="26"/>
        <v>6662</v>
      </c>
      <c r="O398" s="1">
        <f>IFERROR(VLOOKUP(N398,'Leghe Fantacalcio'!B:I,8,FALSE),0)</f>
        <v>10</v>
      </c>
      <c r="P398" s="1" t="str">
        <f t="shared" si="27"/>
        <v>update giocatori set fvm = 10 where id = 1073141;</v>
      </c>
    </row>
    <row r="399" spans="1:16" x14ac:dyDescent="0.25">
      <c r="A399" s="1" t="str">
        <f t="shared" si="24"/>
        <v>CremaschiParma</v>
      </c>
      <c r="B399" s="1" t="str">
        <f t="shared" si="25"/>
        <v>Cremaschi B.Parma</v>
      </c>
      <c r="C399" s="1">
        <v>1118353</v>
      </c>
      <c r="D399" s="1" t="s">
        <v>453</v>
      </c>
      <c r="E399" s="1" t="s">
        <v>597</v>
      </c>
      <c r="F399" s="1" t="s">
        <v>44</v>
      </c>
      <c r="G399" s="1" t="s">
        <v>283</v>
      </c>
      <c r="H399" s="1">
        <v>6</v>
      </c>
      <c r="I399" s="1">
        <v>8</v>
      </c>
      <c r="J399" s="1" t="str">
        <f>VLOOKUP(A399,'Leghe Fantacalcio'!A:I,1,FALSE)</f>
        <v>CremaschiParma</v>
      </c>
      <c r="K399" s="1" t="e">
        <f>VLOOKUP(B399,'Leghe Fantacalcio'!A:I,1,FALSE)</f>
        <v>#N/A</v>
      </c>
      <c r="L399" s="1">
        <f>IF(ISNA(VLOOKUP(A399,'Leghe Fantacalcio'!A:I,2,FALSE)),"",VLOOKUP(A399,'Leghe Fantacalcio'!A:I,2,FALSE))</f>
        <v>7276</v>
      </c>
      <c r="M399" s="1" t="str">
        <f>IF(ISNA(VLOOKUP(B399,'Leghe Fantacalcio'!A:I,2,FALSE)),"",VLOOKUP(B399,'Leghe Fantacalcio'!A:I,2,FALSE))</f>
        <v/>
      </c>
      <c r="N399" s="1">
        <f t="shared" si="26"/>
        <v>7276</v>
      </c>
      <c r="O399" s="1">
        <f>IFERROR(VLOOKUP(N399,'Leghe Fantacalcio'!B:I,8,FALSE),0)</f>
        <v>3</v>
      </c>
      <c r="P399" s="1" t="str">
        <f t="shared" si="27"/>
        <v>update giocatori set fvm = 3 where id = 1118353;</v>
      </c>
    </row>
    <row r="400" spans="1:16" x14ac:dyDescent="0.25">
      <c r="A400" s="1" t="str">
        <f t="shared" si="24"/>
        <v>DaffaraParma</v>
      </c>
      <c r="B400" s="1" t="str">
        <f t="shared" si="25"/>
        <v>Daffara G.Parma</v>
      </c>
      <c r="C400" s="1">
        <v>1118334</v>
      </c>
      <c r="D400" s="1" t="s">
        <v>43</v>
      </c>
      <c r="E400" s="1" t="s">
        <v>575</v>
      </c>
      <c r="F400" s="1" t="s">
        <v>44</v>
      </c>
      <c r="G400" s="1" t="s">
        <v>8</v>
      </c>
      <c r="H400" s="1">
        <v>6</v>
      </c>
      <c r="I400" s="1">
        <v>1</v>
      </c>
      <c r="J400" s="1" t="str">
        <f>VLOOKUP(A400,'Leghe Fantacalcio'!A:I,1,FALSE)</f>
        <v>DaffaraParma</v>
      </c>
      <c r="K400" s="1" t="e">
        <f>VLOOKUP(B400,'Leghe Fantacalcio'!A:I,1,FALSE)</f>
        <v>#N/A</v>
      </c>
      <c r="L400" s="1">
        <f>IF(ISNA(VLOOKUP(A400,'Leghe Fantacalcio'!A:I,2,FALSE)),"",VLOOKUP(A400,'Leghe Fantacalcio'!A:I,2,FALSE))</f>
        <v>7411</v>
      </c>
      <c r="M400" s="1" t="str">
        <f>IF(ISNA(VLOOKUP(B400,'Leghe Fantacalcio'!A:I,2,FALSE)),"",VLOOKUP(B400,'Leghe Fantacalcio'!A:I,2,FALSE))</f>
        <v/>
      </c>
      <c r="N400" s="1">
        <f t="shared" si="26"/>
        <v>7411</v>
      </c>
      <c r="O400" s="1">
        <f>IFERROR(VLOOKUP(N400,'Leghe Fantacalcio'!B:I,8,FALSE),0)</f>
        <v>2</v>
      </c>
      <c r="P400" s="1" t="str">
        <f t="shared" si="27"/>
        <v>update giocatori set fvm = 2 where id = 1118334;</v>
      </c>
    </row>
    <row r="401" spans="1:16" x14ac:dyDescent="0.25">
      <c r="A401" s="1" t="str">
        <f t="shared" si="24"/>
        <v>de MartisParma</v>
      </c>
      <c r="B401" s="1" t="str">
        <f t="shared" si="25"/>
        <v>de Martis T.Parma</v>
      </c>
      <c r="C401" s="1">
        <v>1120560</v>
      </c>
      <c r="D401" s="1" t="s">
        <v>674</v>
      </c>
      <c r="E401" s="1" t="s">
        <v>599</v>
      </c>
      <c r="F401" s="1" t="s">
        <v>44</v>
      </c>
      <c r="G401" s="1" t="s">
        <v>478</v>
      </c>
      <c r="H401" s="1">
        <v>6</v>
      </c>
      <c r="I401" s="1">
        <v>2</v>
      </c>
      <c r="J401" s="1" t="str">
        <f>VLOOKUP(A401,'Leghe Fantacalcio'!A:I,1,FALSE)</f>
        <v>De MartisParma</v>
      </c>
      <c r="K401" s="1" t="e">
        <f>VLOOKUP(B401,'Leghe Fantacalcio'!A:I,1,FALSE)</f>
        <v>#N/A</v>
      </c>
      <c r="L401" s="1">
        <f>IF(ISNA(VLOOKUP(A401,'Leghe Fantacalcio'!A:I,2,FALSE)),"",VLOOKUP(A401,'Leghe Fantacalcio'!A:I,2,FALSE))</f>
        <v>7568</v>
      </c>
      <c r="M401" s="1" t="str">
        <f>IF(ISNA(VLOOKUP(B401,'Leghe Fantacalcio'!A:I,2,FALSE)),"",VLOOKUP(B401,'Leghe Fantacalcio'!A:I,2,FALSE))</f>
        <v/>
      </c>
      <c r="N401" s="1">
        <f t="shared" si="26"/>
        <v>7568</v>
      </c>
      <c r="O401" s="1">
        <f>IFERROR(VLOOKUP(N401,'Leghe Fantacalcio'!B:I,8,FALSE),0)</f>
        <v>1</v>
      </c>
      <c r="P401" s="1" t="str">
        <f t="shared" si="27"/>
        <v>update giocatori set fvm = 1 where id = 1120560;</v>
      </c>
    </row>
    <row r="402" spans="1:16" x14ac:dyDescent="0.25">
      <c r="A402" s="1" t="str">
        <f t="shared" si="24"/>
        <v>DelpratoParma</v>
      </c>
      <c r="B402" s="1" t="str">
        <f t="shared" si="25"/>
        <v>Delprato E.Parma</v>
      </c>
      <c r="C402" s="1">
        <v>1066418</v>
      </c>
      <c r="D402" s="1" t="s">
        <v>138</v>
      </c>
      <c r="E402" s="1" t="s">
        <v>573</v>
      </c>
      <c r="F402" s="1" t="s">
        <v>44</v>
      </c>
      <c r="G402" s="1" t="s">
        <v>92</v>
      </c>
      <c r="H402" s="1">
        <v>6</v>
      </c>
      <c r="I402" s="1">
        <v>9</v>
      </c>
      <c r="J402" s="1" t="str">
        <f>VLOOKUP(A402,'Leghe Fantacalcio'!A:I,1,FALSE)</f>
        <v>DelpratoParma</v>
      </c>
      <c r="K402" s="1" t="e">
        <f>VLOOKUP(B402,'Leghe Fantacalcio'!A:I,1,FALSE)</f>
        <v>#N/A</v>
      </c>
      <c r="L402" s="1">
        <f>IF(ISNA(VLOOKUP(A402,'Leghe Fantacalcio'!A:I,2,FALSE)),"",VLOOKUP(A402,'Leghe Fantacalcio'!A:I,2,FALSE))</f>
        <v>6664</v>
      </c>
      <c r="M402" s="1" t="str">
        <f>IF(ISNA(VLOOKUP(B402,'Leghe Fantacalcio'!A:I,2,FALSE)),"",VLOOKUP(B402,'Leghe Fantacalcio'!A:I,2,FALSE))</f>
        <v/>
      </c>
      <c r="N402" s="1">
        <f t="shared" si="26"/>
        <v>6664</v>
      </c>
      <c r="O402" s="1">
        <f>IFERROR(VLOOKUP(N402,'Leghe Fantacalcio'!B:I,8,FALSE),0)</f>
        <v>21</v>
      </c>
      <c r="P402" s="1" t="str">
        <f t="shared" si="27"/>
        <v>update giocatori set fvm = 21 where id = 1066418;</v>
      </c>
    </row>
    <row r="403" spans="1:16" x14ac:dyDescent="0.25">
      <c r="A403" s="1" t="str">
        <f t="shared" si="24"/>
        <v>Diego CarlosParma</v>
      </c>
      <c r="B403" s="1" t="str">
        <f t="shared" si="25"/>
        <v>Diego Carlos Parma</v>
      </c>
      <c r="C403" s="1">
        <v>1050946</v>
      </c>
      <c r="D403" s="1" t="s">
        <v>147</v>
      </c>
      <c r="E403" s="1" t="s">
        <v>579</v>
      </c>
      <c r="F403" s="1" t="s">
        <v>44</v>
      </c>
      <c r="G403" s="1" t="s">
        <v>92</v>
      </c>
      <c r="H403" s="1">
        <v>6</v>
      </c>
      <c r="I403" s="1">
        <v>9</v>
      </c>
      <c r="J403" s="1" t="str">
        <f>VLOOKUP(A403,'Leghe Fantacalcio'!A:I,1,FALSE)</f>
        <v>Diego CarlosParma</v>
      </c>
      <c r="K403" s="1" t="e">
        <f>VLOOKUP(B403,'Leghe Fantacalcio'!A:I,1,FALSE)</f>
        <v>#N/A</v>
      </c>
      <c r="L403" s="1">
        <f>IF(ISNA(VLOOKUP(A403,'Leghe Fantacalcio'!A:I,2,FALSE)),"",VLOOKUP(A403,'Leghe Fantacalcio'!A:I,2,FALSE))</f>
        <v>4137</v>
      </c>
      <c r="M403" s="1" t="str">
        <f>IF(ISNA(VLOOKUP(B403,'Leghe Fantacalcio'!A:I,2,FALSE)),"",VLOOKUP(B403,'Leghe Fantacalcio'!A:I,2,FALSE))</f>
        <v/>
      </c>
      <c r="N403" s="1">
        <f t="shared" si="26"/>
        <v>4137</v>
      </c>
      <c r="O403" s="1">
        <f>IFERROR(VLOOKUP(N403,'Leghe Fantacalcio'!B:I,8,FALSE),0)</f>
        <v>16</v>
      </c>
      <c r="P403" s="1" t="str">
        <f t="shared" si="27"/>
        <v>update giocatori set fvm = 16 where id = 1050946;</v>
      </c>
    </row>
    <row r="404" spans="1:16" x14ac:dyDescent="0.25">
      <c r="A404" s="1" t="str">
        <f t="shared" si="24"/>
        <v>DrobnicParma</v>
      </c>
      <c r="B404" s="1" t="str">
        <f t="shared" si="25"/>
        <v>Drobnic D.Parma</v>
      </c>
      <c r="C404" s="1">
        <v>1120283</v>
      </c>
      <c r="D404" s="1" t="s">
        <v>255</v>
      </c>
      <c r="E404" s="1" t="s">
        <v>593</v>
      </c>
      <c r="F404" s="1" t="s">
        <v>44</v>
      </c>
      <c r="G404" s="1" t="s">
        <v>92</v>
      </c>
      <c r="H404" s="1">
        <v>6</v>
      </c>
      <c r="I404" s="1">
        <v>6</v>
      </c>
      <c r="J404" s="1" t="str">
        <f>VLOOKUP(A404,'Leghe Fantacalcio'!A:I,1,FALSE)</f>
        <v>DrobnicParma</v>
      </c>
      <c r="K404" s="1" t="e">
        <f>VLOOKUP(B404,'Leghe Fantacalcio'!A:I,1,FALSE)</f>
        <v>#N/A</v>
      </c>
      <c r="L404" s="1">
        <f>IF(ISNA(VLOOKUP(A404,'Leghe Fantacalcio'!A:I,2,FALSE)),"",VLOOKUP(A404,'Leghe Fantacalcio'!A:I,2,FALSE))</f>
        <v>7615</v>
      </c>
      <c r="M404" s="1" t="str">
        <f>IF(ISNA(VLOOKUP(B404,'Leghe Fantacalcio'!A:I,2,FALSE)),"",VLOOKUP(B404,'Leghe Fantacalcio'!A:I,2,FALSE))</f>
        <v/>
      </c>
      <c r="N404" s="1">
        <f t="shared" si="26"/>
        <v>7615</v>
      </c>
      <c r="O404" s="1">
        <f>IFERROR(VLOOKUP(N404,'Leghe Fantacalcio'!B:I,8,FALSE),0)</f>
        <v>1</v>
      </c>
      <c r="P404" s="1" t="str">
        <f t="shared" si="27"/>
        <v>update giocatori set fvm = 1 where id = 1120283;</v>
      </c>
    </row>
    <row r="405" spans="1:16" x14ac:dyDescent="0.25">
      <c r="A405" s="1" t="str">
        <f t="shared" si="24"/>
        <v>ElphegeParma</v>
      </c>
      <c r="B405" s="1" t="str">
        <f t="shared" si="25"/>
        <v>Elphege N.Parma</v>
      </c>
      <c r="C405" s="1">
        <v>1120320</v>
      </c>
      <c r="D405" s="1" t="s">
        <v>541</v>
      </c>
      <c r="E405" s="1" t="s">
        <v>578</v>
      </c>
      <c r="F405" s="1" t="s">
        <v>44</v>
      </c>
      <c r="G405" s="1" t="s">
        <v>478</v>
      </c>
      <c r="H405" s="1">
        <v>6</v>
      </c>
      <c r="I405" s="1">
        <v>19</v>
      </c>
      <c r="J405" s="1" t="str">
        <f>VLOOKUP(A405,'Leghe Fantacalcio'!A:I,1,FALSE)</f>
        <v>ElphegeParma</v>
      </c>
      <c r="K405" s="1" t="e">
        <f>VLOOKUP(B405,'Leghe Fantacalcio'!A:I,1,FALSE)</f>
        <v>#N/A</v>
      </c>
      <c r="L405" s="1">
        <f>IF(ISNA(VLOOKUP(A405,'Leghe Fantacalcio'!A:I,2,FALSE)),"",VLOOKUP(A405,'Leghe Fantacalcio'!A:I,2,FALSE))</f>
        <v>7342</v>
      </c>
      <c r="M405" s="1" t="str">
        <f>IF(ISNA(VLOOKUP(B405,'Leghe Fantacalcio'!A:I,2,FALSE)),"",VLOOKUP(B405,'Leghe Fantacalcio'!A:I,2,FALSE))</f>
        <v/>
      </c>
      <c r="N405" s="1">
        <f t="shared" si="26"/>
        <v>7342</v>
      </c>
      <c r="O405" s="1">
        <f>IFERROR(VLOOKUP(N405,'Leghe Fantacalcio'!B:I,8,FALSE),0)</f>
        <v>10</v>
      </c>
      <c r="P405" s="1" t="str">
        <f t="shared" si="27"/>
        <v>update giocatori set fvm = 10 where id = 1120320;</v>
      </c>
    </row>
    <row r="406" spans="1:16" x14ac:dyDescent="0.25">
      <c r="A406" s="1" t="str">
        <f t="shared" si="24"/>
        <v>FabbianParma</v>
      </c>
      <c r="B406" s="1" t="str">
        <f t="shared" si="25"/>
        <v>Fabbian G.Parma</v>
      </c>
      <c r="C406" s="1">
        <v>1115142</v>
      </c>
      <c r="D406" s="1" t="s">
        <v>413</v>
      </c>
      <c r="E406" s="1" t="s">
        <v>575</v>
      </c>
      <c r="F406" s="1" t="s">
        <v>44</v>
      </c>
      <c r="G406" s="1" t="s">
        <v>283</v>
      </c>
      <c r="H406" s="1">
        <v>6</v>
      </c>
      <c r="I406" s="1">
        <v>19</v>
      </c>
      <c r="J406" s="1" t="str">
        <f>VLOOKUP(A406,'Leghe Fantacalcio'!A:I,1,FALSE)</f>
        <v>FabbianParma</v>
      </c>
      <c r="K406" s="1" t="e">
        <f>VLOOKUP(B406,'Leghe Fantacalcio'!A:I,1,FALSE)</f>
        <v>#N/A</v>
      </c>
      <c r="L406" s="1">
        <f>IF(ISNA(VLOOKUP(A406,'Leghe Fantacalcio'!A:I,2,FALSE)),"",VLOOKUP(A406,'Leghe Fantacalcio'!A:I,2,FALSE))</f>
        <v>6206</v>
      </c>
      <c r="M406" s="1" t="str">
        <f>IF(ISNA(VLOOKUP(B406,'Leghe Fantacalcio'!A:I,2,FALSE)),"",VLOOKUP(B406,'Leghe Fantacalcio'!A:I,2,FALSE))</f>
        <v/>
      </c>
      <c r="N406" s="1">
        <f t="shared" si="26"/>
        <v>6206</v>
      </c>
      <c r="O406" s="1">
        <f>IFERROR(VLOOKUP(N406,'Leghe Fantacalcio'!B:I,8,FALSE),0)</f>
        <v>12</v>
      </c>
      <c r="P406" s="1" t="str">
        <f t="shared" si="27"/>
        <v>update giocatori set fvm = 12 where id = 1115142;</v>
      </c>
    </row>
    <row r="407" spans="1:16" x14ac:dyDescent="0.25">
      <c r="A407" s="1" t="str">
        <f t="shared" si="24"/>
        <v>FriganParma</v>
      </c>
      <c r="B407" s="1" t="str">
        <f t="shared" si="25"/>
        <v>Frigan M.Parma</v>
      </c>
      <c r="C407" s="1">
        <v>1103090</v>
      </c>
      <c r="D407" s="1" t="s">
        <v>548</v>
      </c>
      <c r="E407" s="1" t="s">
        <v>572</v>
      </c>
      <c r="F407" s="1" t="s">
        <v>44</v>
      </c>
      <c r="G407" s="1" t="s">
        <v>478</v>
      </c>
      <c r="H407" s="1">
        <v>6</v>
      </c>
      <c r="I407" s="1">
        <v>11</v>
      </c>
      <c r="J407" s="1" t="str">
        <f>VLOOKUP(A407,'Leghe Fantacalcio'!A:I,1,FALSE)</f>
        <v>FriganParma</v>
      </c>
      <c r="K407" s="1" t="e">
        <f>VLOOKUP(B407,'Leghe Fantacalcio'!A:I,1,FALSE)</f>
        <v>#N/A</v>
      </c>
      <c r="L407" s="1">
        <f>IF(ISNA(VLOOKUP(A407,'Leghe Fantacalcio'!A:I,2,FALSE)),"",VLOOKUP(A407,'Leghe Fantacalcio'!A:I,2,FALSE))</f>
        <v>7213</v>
      </c>
      <c r="M407" s="1" t="str">
        <f>IF(ISNA(VLOOKUP(B407,'Leghe Fantacalcio'!A:I,2,FALSE)),"",VLOOKUP(B407,'Leghe Fantacalcio'!A:I,2,FALSE))</f>
        <v/>
      </c>
      <c r="N407" s="1">
        <f t="shared" si="26"/>
        <v>7213</v>
      </c>
      <c r="O407" s="1">
        <f>IFERROR(VLOOKUP(N407,'Leghe Fantacalcio'!B:I,8,FALSE),0)</f>
        <v>5</v>
      </c>
      <c r="P407" s="1" t="str">
        <f t="shared" si="27"/>
        <v>update giocatori set fvm = 5 where id = 1103090;</v>
      </c>
    </row>
    <row r="408" spans="1:16" x14ac:dyDescent="0.25">
      <c r="A408" s="1" t="str">
        <f t="shared" si="24"/>
        <v>GhidottiParma</v>
      </c>
      <c r="B408" s="1" t="str">
        <f t="shared" si="25"/>
        <v>Ghidotti S.Parma</v>
      </c>
      <c r="C408" s="1">
        <v>1101997</v>
      </c>
      <c r="D408" s="1" t="s">
        <v>90</v>
      </c>
      <c r="E408" s="1" t="s">
        <v>580</v>
      </c>
      <c r="F408" s="1" t="s">
        <v>44</v>
      </c>
      <c r="G408" s="1" t="s">
        <v>8</v>
      </c>
      <c r="H408" s="1">
        <v>6</v>
      </c>
      <c r="I408" s="1">
        <v>1</v>
      </c>
      <c r="J408" s="1" t="str">
        <f>VLOOKUP(A408,'Leghe Fantacalcio'!A:I,1,FALSE)</f>
        <v>GhidottiParma</v>
      </c>
      <c r="K408" s="1" t="e">
        <f>VLOOKUP(B408,'Leghe Fantacalcio'!A:I,1,FALSE)</f>
        <v>#N/A</v>
      </c>
      <c r="L408" s="1">
        <f>IF(ISNA(VLOOKUP(A408,'Leghe Fantacalcio'!A:I,2,FALSE)),"",VLOOKUP(A408,'Leghe Fantacalcio'!A:I,2,FALSE))</f>
        <v>2874</v>
      </c>
      <c r="M408" s="1" t="str">
        <f>IF(ISNA(VLOOKUP(B408,'Leghe Fantacalcio'!A:I,2,FALSE)),"",VLOOKUP(B408,'Leghe Fantacalcio'!A:I,2,FALSE))</f>
        <v/>
      </c>
      <c r="N408" s="1">
        <f t="shared" si="26"/>
        <v>2874</v>
      </c>
      <c r="O408" s="1">
        <f>IFERROR(VLOOKUP(N408,'Leghe Fantacalcio'!B:I,8,FALSE),0)</f>
        <v>1</v>
      </c>
      <c r="P408" s="1" t="str">
        <f t="shared" si="27"/>
        <v>update giocatori set fvm = 1 where id = 1101997;</v>
      </c>
    </row>
    <row r="409" spans="1:16" x14ac:dyDescent="0.25">
      <c r="A409" s="1" t="str">
        <f t="shared" si="24"/>
        <v>KeitaParma</v>
      </c>
      <c r="B409" s="1" t="str">
        <f t="shared" si="25"/>
        <v>Keita M.Parma</v>
      </c>
      <c r="C409" s="1">
        <v>1118111</v>
      </c>
      <c r="D409" s="1" t="s">
        <v>649</v>
      </c>
      <c r="E409" s="1" t="s">
        <v>572</v>
      </c>
      <c r="F409" s="1" t="s">
        <v>44</v>
      </c>
      <c r="G409" s="1" t="s">
        <v>283</v>
      </c>
      <c r="H409" s="1">
        <v>6</v>
      </c>
      <c r="I409" s="1">
        <v>19</v>
      </c>
      <c r="J409" s="1" t="e">
        <f>VLOOKUP(A409,'Leghe Fantacalcio'!A:I,1,FALSE)</f>
        <v>#N/A</v>
      </c>
      <c r="K409" s="1" t="str">
        <f>VLOOKUP(B409,'Leghe Fantacalcio'!A:I,1,FALSE)</f>
        <v>Keita M.Parma</v>
      </c>
      <c r="L409" s="1" t="str">
        <f>IF(ISNA(VLOOKUP(A409,'Leghe Fantacalcio'!A:I,2,FALSE)),"",VLOOKUP(A409,'Leghe Fantacalcio'!A:I,2,FALSE))</f>
        <v/>
      </c>
      <c r="M409" s="1">
        <f>IF(ISNA(VLOOKUP(B409,'Leghe Fantacalcio'!A:I,2,FALSE)),"",VLOOKUP(B409,'Leghe Fantacalcio'!A:I,2,FALSE))</f>
        <v>6898</v>
      </c>
      <c r="N409" s="1">
        <f t="shared" si="26"/>
        <v>6898</v>
      </c>
      <c r="O409" s="1">
        <f>IFERROR(VLOOKUP(N409,'Leghe Fantacalcio'!B:I,8,FALSE),0)</f>
        <v>16</v>
      </c>
      <c r="P409" s="1" t="str">
        <f t="shared" si="27"/>
        <v>update giocatori set fvm = 16 where id = 1118111;</v>
      </c>
    </row>
    <row r="410" spans="1:16" x14ac:dyDescent="0.25">
      <c r="A410" s="1" t="str">
        <f t="shared" si="24"/>
        <v>LontaniParma</v>
      </c>
      <c r="B410" s="1" t="str">
        <f t="shared" si="25"/>
        <v>Lontani S.Parma</v>
      </c>
      <c r="C410" s="1">
        <v>1120544</v>
      </c>
      <c r="D410" s="1" t="s">
        <v>539</v>
      </c>
      <c r="E410" s="1" t="s">
        <v>580</v>
      </c>
      <c r="F410" s="1" t="s">
        <v>44</v>
      </c>
      <c r="G410" s="1" t="s">
        <v>478</v>
      </c>
      <c r="H410" s="1">
        <v>6</v>
      </c>
      <c r="I410" s="1">
        <v>3</v>
      </c>
      <c r="J410" s="1" t="str">
        <f>VLOOKUP(A410,'Leghe Fantacalcio'!A:I,1,FALSE)</f>
        <v>LontaniParma</v>
      </c>
      <c r="K410" s="1" t="e">
        <f>VLOOKUP(B410,'Leghe Fantacalcio'!A:I,1,FALSE)</f>
        <v>#N/A</v>
      </c>
      <c r="L410" s="1">
        <f>IF(ISNA(VLOOKUP(A410,'Leghe Fantacalcio'!A:I,2,FALSE)),"",VLOOKUP(A410,'Leghe Fantacalcio'!A:I,2,FALSE))</f>
        <v>7561</v>
      </c>
      <c r="M410" s="1" t="str">
        <f>IF(ISNA(VLOOKUP(B410,'Leghe Fantacalcio'!A:I,2,FALSE)),"",VLOOKUP(B410,'Leghe Fantacalcio'!A:I,2,FALSE))</f>
        <v/>
      </c>
      <c r="N410" s="1">
        <f t="shared" si="26"/>
        <v>7561</v>
      </c>
      <c r="O410" s="1">
        <f>IFERROR(VLOOKUP(N410,'Leghe Fantacalcio'!B:I,8,FALSE),0)</f>
        <v>15</v>
      </c>
      <c r="P410" s="1" t="str">
        <f t="shared" si="27"/>
        <v>update giocatori set fvm = 15 where id = 1120544;</v>
      </c>
    </row>
    <row r="411" spans="1:16" x14ac:dyDescent="0.25">
      <c r="A411" s="1" t="str">
        <f t="shared" si="24"/>
        <v>MazzocchiParma</v>
      </c>
      <c r="B411" s="1" t="str">
        <f t="shared" si="25"/>
        <v>Mazzocchi A.Parma</v>
      </c>
      <c r="C411" s="1">
        <v>1120391</v>
      </c>
      <c r="D411" s="1" t="s">
        <v>270</v>
      </c>
      <c r="E411" s="1" t="s">
        <v>584</v>
      </c>
      <c r="F411" s="1" t="s">
        <v>44</v>
      </c>
      <c r="G411" s="1" t="s">
        <v>8</v>
      </c>
      <c r="H411" s="1">
        <v>6</v>
      </c>
      <c r="I411" s="1">
        <v>1</v>
      </c>
      <c r="J411" s="1" t="e">
        <f>VLOOKUP(A411,'Leghe Fantacalcio'!A:I,1,FALSE)</f>
        <v>#N/A</v>
      </c>
      <c r="K411" s="1" t="e">
        <f>VLOOKUP(B411,'Leghe Fantacalcio'!A:I,1,FALSE)</f>
        <v>#N/A</v>
      </c>
      <c r="L411" s="1" t="str">
        <f>IF(ISNA(VLOOKUP(A411,'Leghe Fantacalcio'!A:I,2,FALSE)),"",VLOOKUP(A411,'Leghe Fantacalcio'!A:I,2,FALSE))</f>
        <v/>
      </c>
      <c r="M411" s="1" t="str">
        <f>IF(ISNA(VLOOKUP(B411,'Leghe Fantacalcio'!A:I,2,FALSE)),"",VLOOKUP(B411,'Leghe Fantacalcio'!A:I,2,FALSE))</f>
        <v/>
      </c>
      <c r="N411" s="1" t="str">
        <f t="shared" si="26"/>
        <v/>
      </c>
      <c r="O411" s="1">
        <f>IFERROR(VLOOKUP(N411,'Leghe Fantacalcio'!B:I,8,FALSE),0)</f>
        <v>0</v>
      </c>
      <c r="P411" s="1" t="str">
        <f t="shared" si="27"/>
        <v>update giocatori set fvm = 0 where id = 1120391;</v>
      </c>
    </row>
    <row r="412" spans="1:16" x14ac:dyDescent="0.25">
      <c r="A412" s="1" t="str">
        <f t="shared" si="24"/>
        <v>NdiayeParma</v>
      </c>
      <c r="B412" s="1" t="str">
        <f t="shared" si="25"/>
        <v>Ndiaye A.Parma</v>
      </c>
      <c r="C412" s="1">
        <v>1106152</v>
      </c>
      <c r="D412" s="1" t="s">
        <v>271</v>
      </c>
      <c r="E412" s="1" t="s">
        <v>584</v>
      </c>
      <c r="F412" s="1" t="s">
        <v>44</v>
      </c>
      <c r="G412" s="1" t="s">
        <v>92</v>
      </c>
      <c r="H412" s="1">
        <v>6</v>
      </c>
      <c r="I412" s="1">
        <v>2</v>
      </c>
      <c r="J412" s="1" t="str">
        <f>VLOOKUP(A412,'Leghe Fantacalcio'!A:I,1,FALSE)</f>
        <v>NdiayeParma</v>
      </c>
      <c r="K412" s="1" t="e">
        <f>VLOOKUP(B412,'Leghe Fantacalcio'!A:I,1,FALSE)</f>
        <v>#N/A</v>
      </c>
      <c r="L412" s="1">
        <f>IF(ISNA(VLOOKUP(A412,'Leghe Fantacalcio'!A:I,2,FALSE)),"",VLOOKUP(A412,'Leghe Fantacalcio'!A:I,2,FALSE))</f>
        <v>7202</v>
      </c>
      <c r="M412" s="1" t="str">
        <f>IF(ISNA(VLOOKUP(B412,'Leghe Fantacalcio'!A:I,2,FALSE)),"",VLOOKUP(B412,'Leghe Fantacalcio'!A:I,2,FALSE))</f>
        <v/>
      </c>
      <c r="N412" s="1">
        <f t="shared" si="26"/>
        <v>7202</v>
      </c>
      <c r="O412" s="1">
        <f>IFERROR(VLOOKUP(N412,'Leghe Fantacalcio'!B:I,8,FALSE),0)</f>
        <v>8</v>
      </c>
      <c r="P412" s="1" t="str">
        <f t="shared" si="27"/>
        <v>update giocatori set fvm = 8 where id = 1106152;</v>
      </c>
    </row>
    <row r="413" spans="1:16" ht="14.5" x14ac:dyDescent="0.35">
      <c r="A413" s="1" t="str">
        <f t="shared" si="24"/>
        <v>Nicolussi CavigliaParma</v>
      </c>
      <c r="B413" s="1" t="str">
        <f t="shared" si="25"/>
        <v>Nicolussi Caviglia H.Parma</v>
      </c>
      <c r="C413" s="1">
        <v>1070956</v>
      </c>
      <c r="D413" t="s">
        <v>428</v>
      </c>
      <c r="E413" s="1" t="s">
        <v>620</v>
      </c>
      <c r="F413" s="1" t="s">
        <v>44</v>
      </c>
      <c r="G413" s="1" t="s">
        <v>283</v>
      </c>
      <c r="H413" s="1">
        <v>6</v>
      </c>
      <c r="I413" s="1">
        <v>12</v>
      </c>
      <c r="J413" s="1" t="str">
        <f>VLOOKUP(A413,'Leghe Fantacalcio'!A:I,1,FALSE)</f>
        <v>Nicolussi CavigliaParma</v>
      </c>
      <c r="K413" s="1" t="e">
        <f>VLOOKUP(B413,'Leghe Fantacalcio'!A:I,1,FALSE)</f>
        <v>#N/A</v>
      </c>
      <c r="L413" s="1">
        <f>IF(ISNA(VLOOKUP(A413,'Leghe Fantacalcio'!A:I,2,FALSE)),"",VLOOKUP(A413,'Leghe Fantacalcio'!A:I,2,FALSE))</f>
        <v>4349</v>
      </c>
      <c r="M413" s="1" t="str">
        <f>IF(ISNA(VLOOKUP(B413,'Leghe Fantacalcio'!A:I,2,FALSE)),"",VLOOKUP(B413,'Leghe Fantacalcio'!A:I,2,FALSE))</f>
        <v/>
      </c>
      <c r="N413" s="1">
        <f t="shared" si="26"/>
        <v>4349</v>
      </c>
      <c r="O413" s="1">
        <f>IFERROR(VLOOKUP(N413,'Leghe Fantacalcio'!B:I,8,FALSE),0)</f>
        <v>16</v>
      </c>
      <c r="P413" s="1" t="str">
        <f t="shared" si="27"/>
        <v>update giocatori set fvm = 16 where id = 1070956;</v>
      </c>
    </row>
    <row r="414" spans="1:16" x14ac:dyDescent="0.25">
      <c r="A414" s="1" t="str">
        <f t="shared" si="24"/>
        <v>OrdonezParma</v>
      </c>
      <c r="B414" s="1" t="str">
        <f t="shared" si="25"/>
        <v>Ordonez C.Parma</v>
      </c>
      <c r="C414" s="1">
        <v>1119901</v>
      </c>
      <c r="D414" s="1" t="s">
        <v>658</v>
      </c>
      <c r="E414" s="1" t="s">
        <v>592</v>
      </c>
      <c r="F414" s="1" t="s">
        <v>44</v>
      </c>
      <c r="G414" s="1" t="s">
        <v>283</v>
      </c>
      <c r="H414" s="1">
        <v>6</v>
      </c>
      <c r="I414" s="1">
        <v>13</v>
      </c>
      <c r="J414" s="1" t="e">
        <f>VLOOKUP(A414,'Leghe Fantacalcio'!A:I,1,FALSE)</f>
        <v>#N/A</v>
      </c>
      <c r="K414" s="1" t="str">
        <f>VLOOKUP(B414,'Leghe Fantacalcio'!A:I,1,FALSE)</f>
        <v>Ordonez C.Parma</v>
      </c>
      <c r="L414" s="1" t="str">
        <f>IF(ISNA(VLOOKUP(A414,'Leghe Fantacalcio'!A:I,2,FALSE)),"",VLOOKUP(A414,'Leghe Fantacalcio'!A:I,2,FALSE))</f>
        <v/>
      </c>
      <c r="M414" s="1">
        <f>IF(ISNA(VLOOKUP(B414,'Leghe Fantacalcio'!A:I,2,FALSE)),"",VLOOKUP(B414,'Leghe Fantacalcio'!A:I,2,FALSE))</f>
        <v>7138</v>
      </c>
      <c r="N414" s="1">
        <f t="shared" si="26"/>
        <v>7138</v>
      </c>
      <c r="O414" s="1">
        <f>IFERROR(VLOOKUP(N414,'Leghe Fantacalcio'!B:I,8,FALSE),0)</f>
        <v>10</v>
      </c>
      <c r="P414" s="1" t="str">
        <f t="shared" si="27"/>
        <v>update giocatori set fvm = 10 where id = 1119901;</v>
      </c>
    </row>
    <row r="415" spans="1:16" x14ac:dyDescent="0.25">
      <c r="A415" s="1" t="str">
        <f t="shared" si="24"/>
        <v>Ousmane DialloParma</v>
      </c>
      <c r="B415" s="1" t="str">
        <f t="shared" si="25"/>
        <v>Ousmane Diallo Parma</v>
      </c>
      <c r="C415" s="1">
        <v>1117113</v>
      </c>
      <c r="D415" s="1" t="s">
        <v>683</v>
      </c>
      <c r="E415" s="1" t="s">
        <v>579</v>
      </c>
      <c r="F415" s="1" t="s">
        <v>44</v>
      </c>
      <c r="G415" s="1" t="s">
        <v>478</v>
      </c>
      <c r="H415" s="1">
        <v>6</v>
      </c>
      <c r="I415" s="1">
        <v>1</v>
      </c>
      <c r="J415" s="1" t="e">
        <f>VLOOKUP(A415,'Leghe Fantacalcio'!A:I,1,FALSE)</f>
        <v>#N/A</v>
      </c>
      <c r="K415" s="1" t="e">
        <f>VLOOKUP(B415,'Leghe Fantacalcio'!A:I,1,FALSE)</f>
        <v>#N/A</v>
      </c>
      <c r="L415" s="1" t="str">
        <f>IF(ISNA(VLOOKUP(A415,'Leghe Fantacalcio'!A:I,2,FALSE)),"",VLOOKUP(A415,'Leghe Fantacalcio'!A:I,2,FALSE))</f>
        <v/>
      </c>
      <c r="M415" s="1" t="str">
        <f>IF(ISNA(VLOOKUP(B415,'Leghe Fantacalcio'!A:I,2,FALSE)),"",VLOOKUP(B415,'Leghe Fantacalcio'!A:I,2,FALSE))</f>
        <v/>
      </c>
      <c r="N415" s="1" t="str">
        <f t="shared" si="26"/>
        <v/>
      </c>
      <c r="O415" s="1">
        <f>IFERROR(VLOOKUP(N415,'Leghe Fantacalcio'!B:I,8,FALSE),0)</f>
        <v>0</v>
      </c>
      <c r="P415" s="1" t="str">
        <f t="shared" si="27"/>
        <v>update giocatori set fvm = 0 where id = 1117113;</v>
      </c>
    </row>
    <row r="416" spans="1:16" x14ac:dyDescent="0.25">
      <c r="A416" s="1" t="str">
        <f t="shared" si="24"/>
        <v>RomeroParma</v>
      </c>
      <c r="B416" s="1" t="str">
        <f t="shared" si="25"/>
        <v>Romero D.Parma</v>
      </c>
      <c r="C416" s="1">
        <v>1120550</v>
      </c>
      <c r="D416" s="1" t="s">
        <v>688</v>
      </c>
      <c r="E416" s="1" t="s">
        <v>593</v>
      </c>
      <c r="F416" s="1" t="s">
        <v>44</v>
      </c>
      <c r="G416" s="1" t="s">
        <v>478</v>
      </c>
      <c r="H416" s="1">
        <v>6</v>
      </c>
      <c r="I416" s="1">
        <v>14</v>
      </c>
      <c r="J416" s="1" t="e">
        <f>VLOOKUP(A416,'Leghe Fantacalcio'!A:I,1,FALSE)</f>
        <v>#N/A</v>
      </c>
      <c r="K416" s="1" t="str">
        <f>VLOOKUP(B416,'Leghe Fantacalcio'!A:I,1,FALSE)</f>
        <v>Romero D.Parma</v>
      </c>
      <c r="L416" s="1" t="str">
        <f>IF(ISNA(VLOOKUP(A416,'Leghe Fantacalcio'!A:I,2,FALSE)),"",VLOOKUP(A416,'Leghe Fantacalcio'!A:I,2,FALSE))</f>
        <v/>
      </c>
      <c r="M416" s="1">
        <f>IF(ISNA(VLOOKUP(B416,'Leghe Fantacalcio'!A:I,2,FALSE)),"",VLOOKUP(B416,'Leghe Fantacalcio'!A:I,2,FALSE))</f>
        <v>7554</v>
      </c>
      <c r="N416" s="1">
        <f t="shared" si="26"/>
        <v>7554</v>
      </c>
      <c r="O416" s="1">
        <f>IFERROR(VLOOKUP(N416,'Leghe Fantacalcio'!B:I,8,FALSE),0)</f>
        <v>44</v>
      </c>
      <c r="P416" s="1" t="str">
        <f t="shared" si="27"/>
        <v>update giocatori set fvm = 44 where id = 1120550;</v>
      </c>
    </row>
    <row r="417" spans="1:16" ht="14.5" x14ac:dyDescent="0.35">
      <c r="A417" s="1" t="str">
        <f t="shared" si="24"/>
        <v>Tourè E.Parma</v>
      </c>
      <c r="B417" s="1" t="str">
        <f t="shared" si="25"/>
        <v>Tourè E. E.Parma</v>
      </c>
      <c r="C417" s="1">
        <v>1095422</v>
      </c>
      <c r="D417" t="s">
        <v>519</v>
      </c>
      <c r="E417" s="1" t="s">
        <v>573</v>
      </c>
      <c r="F417" s="1" t="s">
        <v>44</v>
      </c>
      <c r="G417" s="1" t="s">
        <v>478</v>
      </c>
      <c r="H417" s="1">
        <v>6</v>
      </c>
      <c r="I417" s="1">
        <v>13</v>
      </c>
      <c r="J417" s="1" t="str">
        <f>VLOOKUP(A417,'Leghe Fantacalcio'!A:I,1,FALSE)</f>
        <v>Tourè E.Parma</v>
      </c>
      <c r="K417" s="1" t="e">
        <f>VLOOKUP(B417,'Leghe Fantacalcio'!A:I,1,FALSE)</f>
        <v>#N/A</v>
      </c>
      <c r="L417" s="1">
        <f>IF(ISNA(VLOOKUP(A417,'Leghe Fantacalcio'!A:I,2,FALSE)),"",VLOOKUP(A417,'Leghe Fantacalcio'!A:I,2,FALSE))</f>
        <v>6229</v>
      </c>
      <c r="M417" s="1" t="str">
        <f>IF(ISNA(VLOOKUP(B417,'Leghe Fantacalcio'!A:I,2,FALSE)),"",VLOOKUP(B417,'Leghe Fantacalcio'!A:I,2,FALSE))</f>
        <v/>
      </c>
      <c r="N417" s="1">
        <f t="shared" si="26"/>
        <v>6229</v>
      </c>
      <c r="O417" s="1">
        <f>IFERROR(VLOOKUP(N417,'Leghe Fantacalcio'!B:I,8,FALSE),0)</f>
        <v>31</v>
      </c>
      <c r="P417" s="1" t="str">
        <f t="shared" si="27"/>
        <v>update giocatori set fvm = 31 where id = 1095422;</v>
      </c>
    </row>
    <row r="418" spans="1:16" x14ac:dyDescent="0.25">
      <c r="A418" s="1" t="str">
        <f t="shared" si="24"/>
        <v>TroiloParma</v>
      </c>
      <c r="B418" s="1" t="str">
        <f t="shared" si="25"/>
        <v>Troilo M.Parma</v>
      </c>
      <c r="C418" s="1">
        <v>1120136</v>
      </c>
      <c r="D418" s="1" t="s">
        <v>214</v>
      </c>
      <c r="E418" s="1" t="s">
        <v>572</v>
      </c>
      <c r="F418" s="1" t="s">
        <v>44</v>
      </c>
      <c r="G418" s="1" t="s">
        <v>92</v>
      </c>
      <c r="H418" s="1">
        <v>6</v>
      </c>
      <c r="I418" s="1">
        <v>5</v>
      </c>
      <c r="J418" s="1" t="str">
        <f>VLOOKUP(A418,'Leghe Fantacalcio'!A:I,1,FALSE)</f>
        <v>TroiloParma</v>
      </c>
      <c r="K418" s="1" t="e">
        <f>VLOOKUP(B418,'Leghe Fantacalcio'!A:I,1,FALSE)</f>
        <v>#N/A</v>
      </c>
      <c r="L418" s="1">
        <f>IF(ISNA(VLOOKUP(A418,'Leghe Fantacalcio'!A:I,2,FALSE)),"",VLOOKUP(A418,'Leghe Fantacalcio'!A:I,2,FALSE))</f>
        <v>7235</v>
      </c>
      <c r="M418" s="1" t="str">
        <f>IF(ISNA(VLOOKUP(B418,'Leghe Fantacalcio'!A:I,2,FALSE)),"",VLOOKUP(B418,'Leghe Fantacalcio'!A:I,2,FALSE))</f>
        <v/>
      </c>
      <c r="N418" s="1">
        <f t="shared" si="26"/>
        <v>7235</v>
      </c>
      <c r="O418" s="1">
        <f>IFERROR(VLOOKUP(N418,'Leghe Fantacalcio'!B:I,8,FALSE),0)</f>
        <v>14</v>
      </c>
      <c r="P418" s="1" t="str">
        <f t="shared" si="27"/>
        <v>update giocatori set fvm = 14 where id = 1120136;</v>
      </c>
    </row>
    <row r="419" spans="1:16" x14ac:dyDescent="0.25">
      <c r="A419" s="1" t="str">
        <f t="shared" si="24"/>
        <v>ValentiParma</v>
      </c>
      <c r="B419" s="1" t="str">
        <f t="shared" si="25"/>
        <v>Valenti L.Parma</v>
      </c>
      <c r="C419" s="1">
        <v>1102393</v>
      </c>
      <c r="D419" s="1" t="s">
        <v>229</v>
      </c>
      <c r="E419" s="1" t="s">
        <v>590</v>
      </c>
      <c r="F419" s="1" t="s">
        <v>44</v>
      </c>
      <c r="G419" s="1" t="s">
        <v>92</v>
      </c>
      <c r="H419" s="1">
        <v>6</v>
      </c>
      <c r="I419" s="1">
        <v>6</v>
      </c>
      <c r="J419" s="1" t="str">
        <f>VLOOKUP(A419,'Leghe Fantacalcio'!A:I,1,FALSE)</f>
        <v>ValentiParma</v>
      </c>
      <c r="K419" s="1" t="e">
        <f>VLOOKUP(B419,'Leghe Fantacalcio'!A:I,1,FALSE)</f>
        <v>#N/A</v>
      </c>
      <c r="L419" s="1">
        <f>IF(ISNA(VLOOKUP(A419,'Leghe Fantacalcio'!A:I,2,FALSE)),"",VLOOKUP(A419,'Leghe Fantacalcio'!A:I,2,FALSE))</f>
        <v>5307</v>
      </c>
      <c r="M419" s="1" t="str">
        <f>IF(ISNA(VLOOKUP(B419,'Leghe Fantacalcio'!A:I,2,FALSE)),"",VLOOKUP(B419,'Leghe Fantacalcio'!A:I,2,FALSE))</f>
        <v/>
      </c>
      <c r="N419" s="1">
        <f t="shared" si="26"/>
        <v>5307</v>
      </c>
      <c r="O419" s="1">
        <f>IFERROR(VLOOKUP(N419,'Leghe Fantacalcio'!B:I,8,FALSE),0)</f>
        <v>10</v>
      </c>
      <c r="P419" s="1" t="str">
        <f t="shared" si="27"/>
        <v>update giocatori set fvm = 10 where id = 1102393;</v>
      </c>
    </row>
    <row r="420" spans="1:16" x14ac:dyDescent="0.25">
      <c r="A420" s="1" t="str">
        <f t="shared" si="24"/>
        <v>ValeriParma</v>
      </c>
      <c r="B420" s="1" t="str">
        <f t="shared" si="25"/>
        <v>Valeri E.Parma</v>
      </c>
      <c r="C420" s="1">
        <v>1102062</v>
      </c>
      <c r="D420" s="1" t="s">
        <v>126</v>
      </c>
      <c r="E420" s="1" t="s">
        <v>573</v>
      </c>
      <c r="F420" s="1" t="s">
        <v>44</v>
      </c>
      <c r="G420" s="1" t="s">
        <v>92</v>
      </c>
      <c r="H420" s="1">
        <v>6</v>
      </c>
      <c r="I420" s="1">
        <v>12</v>
      </c>
      <c r="J420" s="1" t="str">
        <f>VLOOKUP(A420,'Leghe Fantacalcio'!A:I,1,FALSE)</f>
        <v>ValeriParma</v>
      </c>
      <c r="K420" s="1" t="e">
        <f>VLOOKUP(B420,'Leghe Fantacalcio'!A:I,1,FALSE)</f>
        <v>#N/A</v>
      </c>
      <c r="L420" s="1">
        <f>IF(ISNA(VLOOKUP(A420,'Leghe Fantacalcio'!A:I,2,FALSE)),"",VLOOKUP(A420,'Leghe Fantacalcio'!A:I,2,FALSE))</f>
        <v>5862</v>
      </c>
      <c r="M420" s="1" t="str">
        <f>IF(ISNA(VLOOKUP(B420,'Leghe Fantacalcio'!A:I,2,FALSE)),"",VLOOKUP(B420,'Leghe Fantacalcio'!A:I,2,FALSE))</f>
        <v/>
      </c>
      <c r="N420" s="1">
        <f t="shared" si="26"/>
        <v>5862</v>
      </c>
      <c r="O420" s="1">
        <f>IFERROR(VLOOKUP(N420,'Leghe Fantacalcio'!B:I,8,FALSE),0)</f>
        <v>22</v>
      </c>
      <c r="P420" s="1" t="str">
        <f t="shared" si="27"/>
        <v>update giocatori set fvm = 22 where id = 1102062;</v>
      </c>
    </row>
    <row r="421" spans="1:16" x14ac:dyDescent="0.25">
      <c r="A421" s="1" t="str">
        <f t="shared" si="24"/>
        <v>ArenaRoma</v>
      </c>
      <c r="B421" s="1" t="str">
        <f t="shared" si="25"/>
        <v>Arena A.Roma</v>
      </c>
      <c r="C421" s="1">
        <v>1120153</v>
      </c>
      <c r="D421" s="1" t="s">
        <v>668</v>
      </c>
      <c r="E421" s="1" t="s">
        <v>584</v>
      </c>
      <c r="F421" s="1" t="s">
        <v>10</v>
      </c>
      <c r="G421" s="1" t="s">
        <v>478</v>
      </c>
      <c r="H421" s="1">
        <v>6</v>
      </c>
      <c r="I421" s="1">
        <v>1</v>
      </c>
      <c r="J421" s="1" t="e">
        <f>VLOOKUP(A421,'Leghe Fantacalcio'!A:I,1,FALSE)</f>
        <v>#N/A</v>
      </c>
      <c r="K421" s="1" t="e">
        <f>VLOOKUP(B421,'Leghe Fantacalcio'!A:I,1,FALSE)</f>
        <v>#N/A</v>
      </c>
      <c r="L421" s="1" t="str">
        <f>IF(ISNA(VLOOKUP(A421,'Leghe Fantacalcio'!A:I,2,FALSE)),"",VLOOKUP(A421,'Leghe Fantacalcio'!A:I,2,FALSE))</f>
        <v/>
      </c>
      <c r="M421" s="1" t="str">
        <f>IF(ISNA(VLOOKUP(B421,'Leghe Fantacalcio'!A:I,2,FALSE)),"",VLOOKUP(B421,'Leghe Fantacalcio'!A:I,2,FALSE))</f>
        <v/>
      </c>
      <c r="N421" s="1" t="str">
        <f t="shared" si="26"/>
        <v/>
      </c>
      <c r="O421" s="1">
        <f>IFERROR(VLOOKUP(N421,'Leghe Fantacalcio'!B:I,8,FALSE),0)</f>
        <v>0</v>
      </c>
      <c r="P421" s="1" t="str">
        <f t="shared" si="27"/>
        <v>update giocatori set fvm = 0 where id = 1120153;</v>
      </c>
    </row>
    <row r="422" spans="1:16" x14ac:dyDescent="0.25">
      <c r="A422" s="1" t="str">
        <f t="shared" si="24"/>
        <v>BalerdiRoma</v>
      </c>
      <c r="B422" s="1" t="str">
        <f t="shared" si="25"/>
        <v>Balerdi L.Roma</v>
      </c>
      <c r="C422" s="1">
        <v>1095361</v>
      </c>
      <c r="D422" s="1" t="s">
        <v>146</v>
      </c>
      <c r="E422" s="1" t="s">
        <v>590</v>
      </c>
      <c r="F422" s="1" t="s">
        <v>10</v>
      </c>
      <c r="G422" s="1" t="s">
        <v>92</v>
      </c>
      <c r="H422" s="1">
        <v>6</v>
      </c>
      <c r="I422" s="1">
        <v>24</v>
      </c>
      <c r="J422" s="1" t="str">
        <f>VLOOKUP(A422,'Leghe Fantacalcio'!A:I,1,FALSE)</f>
        <v>BalerdiRoma</v>
      </c>
      <c r="K422" s="1" t="e">
        <f>VLOOKUP(B422,'Leghe Fantacalcio'!A:I,1,FALSE)</f>
        <v>#N/A</v>
      </c>
      <c r="L422" s="1">
        <f>IF(ISNA(VLOOKUP(A422,'Leghe Fantacalcio'!A:I,2,FALSE)),"",VLOOKUP(A422,'Leghe Fantacalcio'!A:I,2,FALSE))</f>
        <v>4705</v>
      </c>
      <c r="M422" s="1" t="str">
        <f>IF(ISNA(VLOOKUP(B422,'Leghe Fantacalcio'!A:I,2,FALSE)),"",VLOOKUP(B422,'Leghe Fantacalcio'!A:I,2,FALSE))</f>
        <v/>
      </c>
      <c r="N422" s="1">
        <f t="shared" si="26"/>
        <v>4705</v>
      </c>
      <c r="O422" s="1">
        <f>IFERROR(VLOOKUP(N422,'Leghe Fantacalcio'!B:I,8,FALSE),0)</f>
        <v>18</v>
      </c>
      <c r="P422" s="1" t="str">
        <f t="shared" si="27"/>
        <v>update giocatori set fvm = 18 where id = 1095361;</v>
      </c>
    </row>
    <row r="423" spans="1:16" x14ac:dyDescent="0.25">
      <c r="A423" s="1" t="str">
        <f t="shared" si="24"/>
        <v>CastroRoma</v>
      </c>
      <c r="B423" s="1" t="str">
        <f t="shared" si="25"/>
        <v>Castro S.Roma</v>
      </c>
      <c r="C423" s="1">
        <v>1119094</v>
      </c>
      <c r="D423" s="1" t="s">
        <v>671</v>
      </c>
      <c r="E423" s="1" t="s">
        <v>580</v>
      </c>
      <c r="F423" s="1" t="s">
        <v>10</v>
      </c>
      <c r="G423" s="1" t="s">
        <v>478</v>
      </c>
      <c r="H423" s="1">
        <v>6</v>
      </c>
      <c r="I423" s="1">
        <v>42</v>
      </c>
      <c r="J423" s="1" t="e">
        <f>VLOOKUP(A423,'Leghe Fantacalcio'!A:I,1,FALSE)</f>
        <v>#N/A</v>
      </c>
      <c r="K423" s="1" t="str">
        <f>VLOOKUP(B423,'Leghe Fantacalcio'!A:I,1,FALSE)</f>
        <v>Castro S.Roma</v>
      </c>
      <c r="L423" s="1" t="str">
        <f>IF(ISNA(VLOOKUP(A423,'Leghe Fantacalcio'!A:I,2,FALSE)),"",VLOOKUP(A423,'Leghe Fantacalcio'!A:I,2,FALSE))</f>
        <v/>
      </c>
      <c r="M423" s="1">
        <f>IF(ISNA(VLOOKUP(B423,'Leghe Fantacalcio'!A:I,2,FALSE)),"",VLOOKUP(B423,'Leghe Fantacalcio'!A:I,2,FALSE))</f>
        <v>6572</v>
      </c>
      <c r="N423" s="1">
        <f t="shared" si="26"/>
        <v>6572</v>
      </c>
      <c r="O423" s="1">
        <f>IFERROR(VLOOKUP(N423,'Leghe Fantacalcio'!B:I,8,FALSE),0)</f>
        <v>40</v>
      </c>
      <c r="P423" s="1" t="str">
        <f t="shared" si="27"/>
        <v>update giocatori set fvm = 40 where id = 1119094;</v>
      </c>
    </row>
    <row r="424" spans="1:16" x14ac:dyDescent="0.25">
      <c r="A424" s="1" t="str">
        <f t="shared" si="24"/>
        <v>CristanteRoma</v>
      </c>
      <c r="B424" s="1" t="str">
        <f t="shared" si="25"/>
        <v>Cristante B.Roma</v>
      </c>
      <c r="C424" s="1">
        <v>1017744</v>
      </c>
      <c r="D424" s="1" t="s">
        <v>324</v>
      </c>
      <c r="E424" s="1" t="s">
        <v>597</v>
      </c>
      <c r="F424" s="1" t="s">
        <v>10</v>
      </c>
      <c r="G424" s="1" t="s">
        <v>283</v>
      </c>
      <c r="H424" s="1">
        <v>6</v>
      </c>
      <c r="I424" s="1">
        <v>26</v>
      </c>
      <c r="J424" s="1" t="str">
        <f>VLOOKUP(A424,'Leghe Fantacalcio'!A:I,1,FALSE)</f>
        <v>CristanteRoma</v>
      </c>
      <c r="K424" s="1" t="e">
        <f>VLOOKUP(B424,'Leghe Fantacalcio'!A:I,1,FALSE)</f>
        <v>#N/A</v>
      </c>
      <c r="L424" s="1">
        <f>IF(ISNA(VLOOKUP(A424,'Leghe Fantacalcio'!A:I,2,FALSE)),"",VLOOKUP(A424,'Leghe Fantacalcio'!A:I,2,FALSE))</f>
        <v>779</v>
      </c>
      <c r="M424" s="1" t="str">
        <f>IF(ISNA(VLOOKUP(B424,'Leghe Fantacalcio'!A:I,2,FALSE)),"",VLOOKUP(B424,'Leghe Fantacalcio'!A:I,2,FALSE))</f>
        <v/>
      </c>
      <c r="N424" s="1">
        <f t="shared" si="26"/>
        <v>779</v>
      </c>
      <c r="O424" s="1">
        <f>IFERROR(VLOOKUP(N424,'Leghe Fantacalcio'!B:I,8,FALSE),0)</f>
        <v>31</v>
      </c>
      <c r="P424" s="1" t="str">
        <f t="shared" si="27"/>
        <v>update giocatori set fvm = 31 where id = 1017744;</v>
      </c>
    </row>
    <row r="425" spans="1:16" x14ac:dyDescent="0.25">
      <c r="A425" s="1" t="str">
        <f t="shared" si="24"/>
        <v>De MarziRoma</v>
      </c>
      <c r="B425" s="1" t="str">
        <f t="shared" si="25"/>
        <v>De Marzi G.Roma</v>
      </c>
      <c r="C425" s="1">
        <v>1119809</v>
      </c>
      <c r="D425" s="1" t="s">
        <v>73</v>
      </c>
      <c r="E425" s="1" t="s">
        <v>575</v>
      </c>
      <c r="F425" s="1" t="s">
        <v>10</v>
      </c>
      <c r="G425" s="1" t="s">
        <v>8</v>
      </c>
      <c r="H425" s="1">
        <v>6</v>
      </c>
      <c r="I425" s="1">
        <v>1</v>
      </c>
      <c r="J425" s="1" t="str">
        <f>VLOOKUP(A425,'Leghe Fantacalcio'!A:I,1,FALSE)</f>
        <v>De MarziRoma</v>
      </c>
      <c r="K425" s="1" t="e">
        <f>VLOOKUP(B425,'Leghe Fantacalcio'!A:I,1,FALSE)</f>
        <v>#N/A</v>
      </c>
      <c r="L425" s="1">
        <f>IF(ISNA(VLOOKUP(A425,'Leghe Fantacalcio'!A:I,2,FALSE)),"",VLOOKUP(A425,'Leghe Fantacalcio'!A:I,2,FALSE))</f>
        <v>7048</v>
      </c>
      <c r="M425" s="1" t="str">
        <f>IF(ISNA(VLOOKUP(B425,'Leghe Fantacalcio'!A:I,2,FALSE)),"",VLOOKUP(B425,'Leghe Fantacalcio'!A:I,2,FALSE))</f>
        <v/>
      </c>
      <c r="N425" s="1">
        <f t="shared" si="26"/>
        <v>7048</v>
      </c>
      <c r="O425" s="1">
        <f>IFERROR(VLOOKUP(N425,'Leghe Fantacalcio'!B:I,8,FALSE),0)</f>
        <v>1</v>
      </c>
      <c r="P425" s="1" t="str">
        <f t="shared" si="27"/>
        <v>update giocatori set fvm = 1 where id = 1119809;</v>
      </c>
    </row>
    <row r="426" spans="1:16" x14ac:dyDescent="0.25">
      <c r="A426" s="1" t="str">
        <f t="shared" si="24"/>
        <v>de RoonRoma</v>
      </c>
      <c r="B426" s="1" t="str">
        <f t="shared" si="25"/>
        <v>de Roon M.Roma</v>
      </c>
      <c r="C426" s="1">
        <v>1036130</v>
      </c>
      <c r="D426" s="1" t="s">
        <v>641</v>
      </c>
      <c r="E426" s="1" t="s">
        <v>572</v>
      </c>
      <c r="F426" s="1" t="s">
        <v>10</v>
      </c>
      <c r="G426" s="1" t="s">
        <v>283</v>
      </c>
      <c r="H426" s="1">
        <v>6</v>
      </c>
      <c r="I426" s="1">
        <v>20</v>
      </c>
      <c r="J426" s="1" t="str">
        <f>VLOOKUP(A426,'Leghe Fantacalcio'!A:I,1,FALSE)</f>
        <v>De RoonRoma</v>
      </c>
      <c r="K426" s="1" t="e">
        <f>VLOOKUP(B426,'Leghe Fantacalcio'!A:I,1,FALSE)</f>
        <v>#N/A</v>
      </c>
      <c r="L426" s="1">
        <f>IF(ISNA(VLOOKUP(A426,'Leghe Fantacalcio'!A:I,2,FALSE)),"",VLOOKUP(A426,'Leghe Fantacalcio'!A:I,2,FALSE))</f>
        <v>22</v>
      </c>
      <c r="M426" s="1" t="str">
        <f>IF(ISNA(VLOOKUP(B426,'Leghe Fantacalcio'!A:I,2,FALSE)),"",VLOOKUP(B426,'Leghe Fantacalcio'!A:I,2,FALSE))</f>
        <v/>
      </c>
      <c r="N426" s="1">
        <f t="shared" si="26"/>
        <v>22</v>
      </c>
      <c r="O426" s="1">
        <f>IFERROR(VLOOKUP(N426,'Leghe Fantacalcio'!B:I,8,FALSE),0)</f>
        <v>10</v>
      </c>
      <c r="P426" s="1" t="str">
        <f t="shared" si="27"/>
        <v>update giocatori set fvm = 10 where id = 1036130;</v>
      </c>
    </row>
    <row r="427" spans="1:16" x14ac:dyDescent="0.25">
      <c r="A427" s="1" t="str">
        <f t="shared" si="24"/>
        <v>DybalaRoma</v>
      </c>
      <c r="B427" s="1" t="str">
        <f t="shared" si="25"/>
        <v>Dybala P.Roma</v>
      </c>
      <c r="C427" s="1">
        <v>1037689</v>
      </c>
      <c r="D427" s="1" t="s">
        <v>493</v>
      </c>
      <c r="E427" s="1" t="s">
        <v>585</v>
      </c>
      <c r="F427" s="1" t="s">
        <v>10</v>
      </c>
      <c r="G427" s="1" t="s">
        <v>478</v>
      </c>
      <c r="H427" s="1">
        <v>6</v>
      </c>
      <c r="I427" s="1">
        <v>45</v>
      </c>
      <c r="J427" s="1" t="str">
        <f>VLOOKUP(A427,'Leghe Fantacalcio'!A:I,1,FALSE)</f>
        <v>DybalaRoma</v>
      </c>
      <c r="K427" s="1" t="e">
        <f>VLOOKUP(B427,'Leghe Fantacalcio'!A:I,1,FALSE)</f>
        <v>#N/A</v>
      </c>
      <c r="L427" s="1">
        <f>IF(ISNA(VLOOKUP(A427,'Leghe Fantacalcio'!A:I,2,FALSE)),"",VLOOKUP(A427,'Leghe Fantacalcio'!A:I,2,FALSE))</f>
        <v>309</v>
      </c>
      <c r="M427" s="1" t="str">
        <f>IF(ISNA(VLOOKUP(B427,'Leghe Fantacalcio'!A:I,2,FALSE)),"",VLOOKUP(B427,'Leghe Fantacalcio'!A:I,2,FALSE))</f>
        <v/>
      </c>
      <c r="N427" s="1">
        <f t="shared" si="26"/>
        <v>309</v>
      </c>
      <c r="O427" s="1">
        <f>IFERROR(VLOOKUP(N427,'Leghe Fantacalcio'!B:I,8,FALSE),0)</f>
        <v>120</v>
      </c>
      <c r="P427" s="1" t="str">
        <f t="shared" si="27"/>
        <v>update giocatori set fvm = 120 where id = 1037689;</v>
      </c>
    </row>
    <row r="428" spans="1:16" x14ac:dyDescent="0.25">
      <c r="A428" s="1" t="str">
        <f t="shared" si="24"/>
        <v>GhilardiRoma</v>
      </c>
      <c r="B428" s="1" t="str">
        <f t="shared" si="25"/>
        <v>Ghilardi D.Roma</v>
      </c>
      <c r="C428" s="1">
        <v>1118068</v>
      </c>
      <c r="D428" s="1" t="s">
        <v>193</v>
      </c>
      <c r="E428" s="1" t="s">
        <v>593</v>
      </c>
      <c r="F428" s="1" t="s">
        <v>10</v>
      </c>
      <c r="G428" s="1" t="s">
        <v>92</v>
      </c>
      <c r="H428" s="1">
        <v>6</v>
      </c>
      <c r="I428" s="1">
        <v>17</v>
      </c>
      <c r="J428" s="1" t="str">
        <f>VLOOKUP(A428,'Leghe Fantacalcio'!A:I,1,FALSE)</f>
        <v>GhilardiRoma</v>
      </c>
      <c r="K428" s="1" t="e">
        <f>VLOOKUP(B428,'Leghe Fantacalcio'!A:I,1,FALSE)</f>
        <v>#N/A</v>
      </c>
      <c r="L428" s="1">
        <f>IF(ISNA(VLOOKUP(A428,'Leghe Fantacalcio'!A:I,2,FALSE)),"",VLOOKUP(A428,'Leghe Fantacalcio'!A:I,2,FALSE))</f>
        <v>6631</v>
      </c>
      <c r="M428" s="1" t="str">
        <f>IF(ISNA(VLOOKUP(B428,'Leghe Fantacalcio'!A:I,2,FALSE)),"",VLOOKUP(B428,'Leghe Fantacalcio'!A:I,2,FALSE))</f>
        <v/>
      </c>
      <c r="N428" s="1">
        <f t="shared" si="26"/>
        <v>6631</v>
      </c>
      <c r="O428" s="1">
        <f>IFERROR(VLOOKUP(N428,'Leghe Fantacalcio'!B:I,8,FALSE),0)</f>
        <v>9</v>
      </c>
      <c r="P428" s="1" t="str">
        <f t="shared" si="27"/>
        <v>update giocatori set fvm = 9 where id = 1118068;</v>
      </c>
    </row>
    <row r="429" spans="1:16" x14ac:dyDescent="0.25">
      <c r="A429" s="1" t="str">
        <f t="shared" si="24"/>
        <v>GolliniRoma</v>
      </c>
      <c r="B429" s="1" t="str">
        <f t="shared" si="25"/>
        <v>Gollini P.Roma</v>
      </c>
      <c r="C429" s="1">
        <v>1048944</v>
      </c>
      <c r="D429" s="1" t="s">
        <v>74</v>
      </c>
      <c r="E429" s="1" t="s">
        <v>585</v>
      </c>
      <c r="F429" s="1" t="s">
        <v>10</v>
      </c>
      <c r="G429" s="1" t="s">
        <v>8</v>
      </c>
      <c r="H429" s="1">
        <v>6</v>
      </c>
      <c r="I429" s="1">
        <v>1</v>
      </c>
      <c r="J429" s="1" t="str">
        <f>VLOOKUP(A429,'Leghe Fantacalcio'!A:I,1,FALSE)</f>
        <v>GolliniRoma</v>
      </c>
      <c r="K429" s="1" t="e">
        <f>VLOOKUP(B429,'Leghe Fantacalcio'!A:I,1,FALSE)</f>
        <v>#N/A</v>
      </c>
      <c r="L429" s="1">
        <f>IF(ISNA(VLOOKUP(A429,'Leghe Fantacalcio'!A:I,2,FALSE)),"",VLOOKUP(A429,'Leghe Fantacalcio'!A:I,2,FALSE))</f>
        <v>610</v>
      </c>
      <c r="M429" s="1" t="str">
        <f>IF(ISNA(VLOOKUP(B429,'Leghe Fantacalcio'!A:I,2,FALSE)),"",VLOOKUP(B429,'Leghe Fantacalcio'!A:I,2,FALSE))</f>
        <v/>
      </c>
      <c r="N429" s="1">
        <f t="shared" si="26"/>
        <v>610</v>
      </c>
      <c r="O429" s="1">
        <f>IFERROR(VLOOKUP(N429,'Leghe Fantacalcio'!B:I,8,FALSE),0)</f>
        <v>1</v>
      </c>
      <c r="P429" s="1" t="str">
        <f t="shared" si="27"/>
        <v>update giocatori set fvm = 1 where id = 1048944;</v>
      </c>
    </row>
    <row r="430" spans="1:16" ht="14.5" x14ac:dyDescent="0.35">
      <c r="A430" s="1" t="str">
        <f t="shared" si="24"/>
        <v>Konè M.Roma</v>
      </c>
      <c r="B430" s="1" t="str">
        <f t="shared" si="25"/>
        <v>Konè M. M.Roma</v>
      </c>
      <c r="C430" s="1">
        <v>1070392</v>
      </c>
      <c r="D430" t="s">
        <v>302</v>
      </c>
      <c r="E430" s="1" t="s">
        <v>572</v>
      </c>
      <c r="F430" s="1" t="s">
        <v>10</v>
      </c>
      <c r="G430" s="1" t="s">
        <v>283</v>
      </c>
      <c r="H430" s="1">
        <v>6</v>
      </c>
      <c r="I430" s="1">
        <v>35</v>
      </c>
      <c r="J430" s="1" t="str">
        <f>VLOOKUP(A430,'Leghe Fantacalcio'!A:I,1,FALSE)</f>
        <v>Konè M.Roma</v>
      </c>
      <c r="K430" s="1" t="e">
        <f>VLOOKUP(B430,'Leghe Fantacalcio'!A:I,1,FALSE)</f>
        <v>#N/A</v>
      </c>
      <c r="L430" s="1">
        <f>IF(ISNA(VLOOKUP(A430,'Leghe Fantacalcio'!A:I,2,FALSE)),"",VLOOKUP(A430,'Leghe Fantacalcio'!A:I,2,FALSE))</f>
        <v>5589</v>
      </c>
      <c r="M430" s="1" t="str">
        <f>IF(ISNA(VLOOKUP(B430,'Leghe Fantacalcio'!A:I,2,FALSE)),"",VLOOKUP(B430,'Leghe Fantacalcio'!A:I,2,FALSE))</f>
        <v/>
      </c>
      <c r="N430" s="1">
        <f t="shared" si="26"/>
        <v>5589</v>
      </c>
      <c r="O430" s="1">
        <f>IFERROR(VLOOKUP(N430,'Leghe Fantacalcio'!B:I,8,FALSE),0)</f>
        <v>50</v>
      </c>
      <c r="P430" s="1" t="str">
        <f t="shared" si="27"/>
        <v>update giocatori set fvm = 50 where id = 1070392;</v>
      </c>
    </row>
    <row r="431" spans="1:16" x14ac:dyDescent="0.25">
      <c r="A431" s="1" t="str">
        <f t="shared" si="24"/>
        <v>KoulierakisRoma</v>
      </c>
      <c r="B431" s="1" t="str">
        <f t="shared" si="25"/>
        <v>Koulierakis K.Roma</v>
      </c>
      <c r="C431" s="1">
        <v>1120431</v>
      </c>
      <c r="D431" s="1" t="s">
        <v>153</v>
      </c>
      <c r="E431" s="1" t="s">
        <v>586</v>
      </c>
      <c r="F431" s="1" t="s">
        <v>10</v>
      </c>
      <c r="G431" s="1" t="s">
        <v>92</v>
      </c>
      <c r="H431" s="1">
        <v>6</v>
      </c>
      <c r="I431" s="1">
        <v>7</v>
      </c>
      <c r="J431" s="1" t="str">
        <f>VLOOKUP(A431,'Leghe Fantacalcio'!A:I,1,FALSE)</f>
        <v>KoulierakisRoma</v>
      </c>
      <c r="K431" s="1" t="e">
        <f>VLOOKUP(B431,'Leghe Fantacalcio'!A:I,1,FALSE)</f>
        <v>#N/A</v>
      </c>
      <c r="L431" s="1">
        <f>IF(ISNA(VLOOKUP(A431,'Leghe Fantacalcio'!A:I,2,FALSE)),"",VLOOKUP(A431,'Leghe Fantacalcio'!A:I,2,FALSE))</f>
        <v>7529</v>
      </c>
      <c r="M431" s="1" t="str">
        <f>IF(ISNA(VLOOKUP(B431,'Leghe Fantacalcio'!A:I,2,FALSE)),"",VLOOKUP(B431,'Leghe Fantacalcio'!A:I,2,FALSE))</f>
        <v/>
      </c>
      <c r="N431" s="1">
        <f t="shared" si="26"/>
        <v>7529</v>
      </c>
      <c r="O431" s="1">
        <f>IFERROR(VLOOKUP(N431,'Leghe Fantacalcio'!B:I,8,FALSE),0)</f>
        <v>9</v>
      </c>
      <c r="P431" s="1" t="str">
        <f t="shared" si="27"/>
        <v>update giocatori set fvm = 9 where id = 1120431;</v>
      </c>
    </row>
    <row r="432" spans="1:16" x14ac:dyDescent="0.25">
      <c r="A432" s="1" t="str">
        <f t="shared" si="24"/>
        <v>LulliRoma</v>
      </c>
      <c r="B432" s="1" t="str">
        <f t="shared" si="25"/>
        <v>Lulli E.Roma</v>
      </c>
      <c r="C432" s="1">
        <v>1120128</v>
      </c>
      <c r="D432" s="1" t="s">
        <v>236</v>
      </c>
      <c r="E432" s="1" t="s">
        <v>573</v>
      </c>
      <c r="F432" s="1" t="s">
        <v>10</v>
      </c>
      <c r="G432" s="1" t="s">
        <v>92</v>
      </c>
      <c r="H432" s="1">
        <v>6</v>
      </c>
      <c r="I432" s="1">
        <v>6</v>
      </c>
      <c r="J432" s="1" t="str">
        <f>VLOOKUP(A432,'Leghe Fantacalcio'!A:I,1,FALSE)</f>
        <v>LulliRoma</v>
      </c>
      <c r="K432" s="1" t="e">
        <f>VLOOKUP(B432,'Leghe Fantacalcio'!A:I,1,FALSE)</f>
        <v>#N/A</v>
      </c>
      <c r="L432" s="1">
        <f>IF(ISNA(VLOOKUP(A432,'Leghe Fantacalcio'!A:I,2,FALSE)),"",VLOOKUP(A432,'Leghe Fantacalcio'!A:I,2,FALSE))</f>
        <v>7599</v>
      </c>
      <c r="M432" s="1" t="str">
        <f>IF(ISNA(VLOOKUP(B432,'Leghe Fantacalcio'!A:I,2,FALSE)),"",VLOOKUP(B432,'Leghe Fantacalcio'!A:I,2,FALSE))</f>
        <v/>
      </c>
      <c r="N432" s="1">
        <f t="shared" si="26"/>
        <v>7599</v>
      </c>
      <c r="O432" s="1">
        <f>IFERROR(VLOOKUP(N432,'Leghe Fantacalcio'!B:I,8,FALSE),0)</f>
        <v>10</v>
      </c>
      <c r="P432" s="1" t="str">
        <f t="shared" si="27"/>
        <v>update giocatori set fvm = 10 where id = 1120128;</v>
      </c>
    </row>
    <row r="433" spans="1:16" x14ac:dyDescent="0.25">
      <c r="A433" s="1" t="str">
        <f t="shared" si="24"/>
        <v>MalenRoma</v>
      </c>
      <c r="B433" s="1" t="str">
        <f t="shared" si="25"/>
        <v>Malen D.Roma</v>
      </c>
      <c r="C433" s="1">
        <v>1063371</v>
      </c>
      <c r="D433" s="1" t="s">
        <v>479</v>
      </c>
      <c r="E433" s="1" t="s">
        <v>593</v>
      </c>
      <c r="F433" s="1" t="s">
        <v>10</v>
      </c>
      <c r="G433" s="1" t="s">
        <v>478</v>
      </c>
      <c r="H433" s="1">
        <v>6</v>
      </c>
      <c r="I433" s="1">
        <v>59</v>
      </c>
      <c r="J433" s="1" t="str">
        <f>VLOOKUP(A433,'Leghe Fantacalcio'!A:I,1,FALSE)</f>
        <v>MalenRoma</v>
      </c>
      <c r="K433" s="1" t="e">
        <f>VLOOKUP(B433,'Leghe Fantacalcio'!A:I,1,FALSE)</f>
        <v>#N/A</v>
      </c>
      <c r="L433" s="1">
        <f>IF(ISNA(VLOOKUP(A433,'Leghe Fantacalcio'!A:I,2,FALSE)),"",VLOOKUP(A433,'Leghe Fantacalcio'!A:I,2,FALSE))</f>
        <v>5585</v>
      </c>
      <c r="M433" s="1" t="str">
        <f>IF(ISNA(VLOOKUP(B433,'Leghe Fantacalcio'!A:I,2,FALSE)),"",VLOOKUP(B433,'Leghe Fantacalcio'!A:I,2,FALSE))</f>
        <v/>
      </c>
      <c r="N433" s="1">
        <f t="shared" si="26"/>
        <v>5585</v>
      </c>
      <c r="O433" s="1">
        <f>IFERROR(VLOOKUP(N433,'Leghe Fantacalcio'!B:I,8,FALSE),0)</f>
        <v>437</v>
      </c>
      <c r="P433" s="1" t="str">
        <f t="shared" si="27"/>
        <v>update giocatori set fvm = 437 where id = 1063371;</v>
      </c>
    </row>
    <row r="434" spans="1:16" x14ac:dyDescent="0.25">
      <c r="A434" s="1" t="str">
        <f t="shared" si="24"/>
        <v>ManciniRoma</v>
      </c>
      <c r="B434" s="1" t="str">
        <f t="shared" si="25"/>
        <v>Mancini G.Roma</v>
      </c>
      <c r="C434" s="1">
        <v>1049438</v>
      </c>
      <c r="D434" s="1" t="s">
        <v>98</v>
      </c>
      <c r="E434" s="1" t="s">
        <v>575</v>
      </c>
      <c r="F434" s="1" t="s">
        <v>10</v>
      </c>
      <c r="G434" s="1" t="s">
        <v>92</v>
      </c>
      <c r="H434" s="1">
        <v>6</v>
      </c>
      <c r="I434" s="1">
        <v>21</v>
      </c>
      <c r="J434" s="1" t="str">
        <f>VLOOKUP(A434,'Leghe Fantacalcio'!A:I,1,FALSE)</f>
        <v>ManciniRoma</v>
      </c>
      <c r="K434" s="1" t="e">
        <f>VLOOKUP(B434,'Leghe Fantacalcio'!A:I,1,FALSE)</f>
        <v>#N/A</v>
      </c>
      <c r="L434" s="1">
        <f>IF(ISNA(VLOOKUP(A434,'Leghe Fantacalcio'!A:I,2,FALSE)),"",VLOOKUP(A434,'Leghe Fantacalcio'!A:I,2,FALSE))</f>
        <v>2296</v>
      </c>
      <c r="M434" s="1" t="str">
        <f>IF(ISNA(VLOOKUP(B434,'Leghe Fantacalcio'!A:I,2,FALSE)),"",VLOOKUP(B434,'Leghe Fantacalcio'!A:I,2,FALSE))</f>
        <v/>
      </c>
      <c r="N434" s="1">
        <f t="shared" si="26"/>
        <v>2296</v>
      </c>
      <c r="O434" s="1">
        <f>IFERROR(VLOOKUP(N434,'Leghe Fantacalcio'!B:I,8,FALSE),0)</f>
        <v>54</v>
      </c>
      <c r="P434" s="1" t="str">
        <f t="shared" si="27"/>
        <v>update giocatori set fvm = 54 where id = 1049438;</v>
      </c>
    </row>
    <row r="435" spans="1:16" ht="14.5" x14ac:dyDescent="0.35">
      <c r="A435" s="1" t="str">
        <f t="shared" si="24"/>
        <v>HermosoRoma</v>
      </c>
      <c r="B435" s="1" t="str">
        <f t="shared" si="25"/>
        <v>Hermoso Roma</v>
      </c>
      <c r="C435" s="1">
        <v>1063346</v>
      </c>
      <c r="D435" t="s">
        <v>107</v>
      </c>
      <c r="E435" s="1" t="s">
        <v>579</v>
      </c>
      <c r="F435" s="1" t="s">
        <v>10</v>
      </c>
      <c r="G435" s="1" t="s">
        <v>92</v>
      </c>
      <c r="H435" s="1">
        <v>6</v>
      </c>
      <c r="I435" s="1">
        <v>15</v>
      </c>
      <c r="J435" s="1" t="str">
        <f>VLOOKUP(A435,'Leghe Fantacalcio'!A:I,1,FALSE)</f>
        <v>HermosoRoma</v>
      </c>
      <c r="K435" s="1" t="e">
        <f>VLOOKUP(B435,'Leghe Fantacalcio'!A:I,1,FALSE)</f>
        <v>#N/A</v>
      </c>
      <c r="L435" s="1">
        <f>IF(ISNA(VLOOKUP(A435,'Leghe Fantacalcio'!A:I,2,FALSE)),"",VLOOKUP(A435,'Leghe Fantacalcio'!A:I,2,FALSE))</f>
        <v>4807</v>
      </c>
      <c r="M435" s="1" t="str">
        <f>IF(ISNA(VLOOKUP(B435,'Leghe Fantacalcio'!A:I,2,FALSE)),"",VLOOKUP(B435,'Leghe Fantacalcio'!A:I,2,FALSE))</f>
        <v/>
      </c>
      <c r="N435" s="1">
        <f t="shared" si="26"/>
        <v>4807</v>
      </c>
      <c r="O435" s="1">
        <f>IFERROR(VLOOKUP(N435,'Leghe Fantacalcio'!B:I,8,FALSE),0)</f>
        <v>35</v>
      </c>
      <c r="P435" s="1" t="str">
        <f t="shared" si="27"/>
        <v>update giocatori set fvm = 35 where id = 1063346;</v>
      </c>
    </row>
    <row r="436" spans="1:16" x14ac:dyDescent="0.25">
      <c r="A436" s="1" t="str">
        <f t="shared" si="24"/>
        <v>MolinaRoma</v>
      </c>
      <c r="B436" s="1" t="str">
        <f t="shared" si="25"/>
        <v>Molina N.Roma</v>
      </c>
      <c r="C436" s="1">
        <v>1101890</v>
      </c>
      <c r="D436" s="1" t="s">
        <v>627</v>
      </c>
      <c r="E436" s="1" t="s">
        <v>578</v>
      </c>
      <c r="F436" s="1" t="s">
        <v>10</v>
      </c>
      <c r="G436" s="1" t="s">
        <v>92</v>
      </c>
      <c r="H436" s="1">
        <v>6</v>
      </c>
      <c r="I436" s="1">
        <v>18</v>
      </c>
      <c r="J436" s="1" t="e">
        <f>VLOOKUP(A436,'Leghe Fantacalcio'!A:I,1,FALSE)</f>
        <v>#N/A</v>
      </c>
      <c r="K436" s="1" t="str">
        <f>VLOOKUP(B436,'Leghe Fantacalcio'!A:I,1,FALSE)</f>
        <v>Molina N.Roma</v>
      </c>
      <c r="L436" s="1" t="str">
        <f>IF(ISNA(VLOOKUP(A436,'Leghe Fantacalcio'!A:I,2,FALSE)),"",VLOOKUP(A436,'Leghe Fantacalcio'!A:I,2,FALSE))</f>
        <v/>
      </c>
      <c r="M436" s="1">
        <f>IF(ISNA(VLOOKUP(B436,'Leghe Fantacalcio'!A:I,2,FALSE)),"",VLOOKUP(B436,'Leghe Fantacalcio'!A:I,2,FALSE))</f>
        <v>4998</v>
      </c>
      <c r="N436" s="1">
        <f t="shared" si="26"/>
        <v>4998</v>
      </c>
      <c r="O436" s="1">
        <f>IFERROR(VLOOKUP(N436,'Leghe Fantacalcio'!B:I,8,FALSE),0)</f>
        <v>65</v>
      </c>
      <c r="P436" s="1" t="str">
        <f t="shared" si="27"/>
        <v>update giocatori set fvm = 65 where id = 1101890;</v>
      </c>
    </row>
    <row r="437" spans="1:16" ht="14.5" x14ac:dyDescent="0.35">
      <c r="A437" s="1" t="str">
        <f t="shared" si="24"/>
        <v>N'DickaRoma</v>
      </c>
      <c r="B437" s="1" t="str">
        <f t="shared" si="25"/>
        <v>N'Dicka E.Roma</v>
      </c>
      <c r="C437" s="1">
        <v>1067743</v>
      </c>
      <c r="D437" t="s">
        <v>110</v>
      </c>
      <c r="E437" s="1" t="s">
        <v>573</v>
      </c>
      <c r="F437" s="1" t="s">
        <v>10</v>
      </c>
      <c r="G437" s="1" t="s">
        <v>92</v>
      </c>
      <c r="H437" s="1">
        <v>6</v>
      </c>
      <c r="I437" s="1">
        <v>17</v>
      </c>
      <c r="J437" s="1" t="str">
        <f>VLOOKUP(A437,'Leghe Fantacalcio'!A:I,1,FALSE)</f>
        <v>N'DickaRoma</v>
      </c>
      <c r="K437" s="1" t="e">
        <f>VLOOKUP(B437,'Leghe Fantacalcio'!A:I,1,FALSE)</f>
        <v>#N/A</v>
      </c>
      <c r="L437" s="1">
        <f>IF(ISNA(VLOOKUP(A437,'Leghe Fantacalcio'!A:I,2,FALSE)),"",VLOOKUP(A437,'Leghe Fantacalcio'!A:I,2,FALSE))</f>
        <v>4317</v>
      </c>
      <c r="M437" s="1" t="str">
        <f>IF(ISNA(VLOOKUP(B437,'Leghe Fantacalcio'!A:I,2,FALSE)),"",VLOOKUP(B437,'Leghe Fantacalcio'!A:I,2,FALSE))</f>
        <v/>
      </c>
      <c r="N437" s="1">
        <f t="shared" si="26"/>
        <v>4317</v>
      </c>
      <c r="O437" s="1">
        <f>IFERROR(VLOOKUP(N437,'Leghe Fantacalcio'!B:I,8,FALSE),0)</f>
        <v>32</v>
      </c>
      <c r="P437" s="1" t="str">
        <f t="shared" si="27"/>
        <v>update giocatori set fvm = 32 where id = 1067743;</v>
      </c>
    </row>
    <row r="438" spans="1:16" ht="14.5" x14ac:dyDescent="0.35">
      <c r="A438" s="1" t="str">
        <f t="shared" si="24"/>
        <v>Pellegrini Lo.Roma</v>
      </c>
      <c r="B438" s="1" t="str">
        <f t="shared" si="25"/>
        <v>Pellegrini Lo. L.Roma</v>
      </c>
      <c r="C438" s="1">
        <v>1045397</v>
      </c>
      <c r="D438" t="s">
        <v>361</v>
      </c>
      <c r="E438" s="1" t="s">
        <v>590</v>
      </c>
      <c r="F438" s="1" t="s">
        <v>10</v>
      </c>
      <c r="G438" s="1" t="s">
        <v>283</v>
      </c>
      <c r="H438" s="1">
        <v>6</v>
      </c>
      <c r="I438" s="1">
        <v>26</v>
      </c>
      <c r="J438" s="1" t="str">
        <f>VLOOKUP(A438,'Leghe Fantacalcio'!A:I,1,FALSE)</f>
        <v>Pellegrini Lo.Roma</v>
      </c>
      <c r="K438" s="1" t="e">
        <f>VLOOKUP(B438,'Leghe Fantacalcio'!A:I,1,FALSE)</f>
        <v>#N/A</v>
      </c>
      <c r="L438" s="1">
        <f>IF(ISNA(VLOOKUP(A438,'Leghe Fantacalcio'!A:I,2,FALSE)),"",VLOOKUP(A438,'Leghe Fantacalcio'!A:I,2,FALSE))</f>
        <v>530</v>
      </c>
      <c r="M438" s="1" t="str">
        <f>IF(ISNA(VLOOKUP(B438,'Leghe Fantacalcio'!A:I,2,FALSE)),"",VLOOKUP(B438,'Leghe Fantacalcio'!A:I,2,FALSE))</f>
        <v/>
      </c>
      <c r="N438" s="1">
        <f t="shared" si="26"/>
        <v>530</v>
      </c>
      <c r="O438" s="1">
        <f>IFERROR(VLOOKUP(N438,'Leghe Fantacalcio'!B:I,8,FALSE),0)</f>
        <v>12</v>
      </c>
      <c r="P438" s="1" t="str">
        <f t="shared" si="27"/>
        <v>update giocatori set fvm = 12 where id = 1045397;</v>
      </c>
    </row>
    <row r="439" spans="1:16" x14ac:dyDescent="0.25">
      <c r="A439" s="1" t="str">
        <f t="shared" si="24"/>
        <v>PisilliRoma</v>
      </c>
      <c r="B439" s="1" t="str">
        <f t="shared" si="25"/>
        <v>Pisilli N.Roma</v>
      </c>
      <c r="C439" s="1">
        <v>1116597</v>
      </c>
      <c r="D439" s="1" t="s">
        <v>340</v>
      </c>
      <c r="E439" s="1" t="s">
        <v>578</v>
      </c>
      <c r="F439" s="1" t="s">
        <v>10</v>
      </c>
      <c r="G439" s="1" t="s">
        <v>283</v>
      </c>
      <c r="H439" s="1">
        <v>6</v>
      </c>
      <c r="I439" s="1">
        <v>26</v>
      </c>
      <c r="J439" s="1" t="str">
        <f>VLOOKUP(A439,'Leghe Fantacalcio'!A:I,1,FALSE)</f>
        <v>PisilliRoma</v>
      </c>
      <c r="K439" s="1" t="e">
        <f>VLOOKUP(B439,'Leghe Fantacalcio'!A:I,1,FALSE)</f>
        <v>#N/A</v>
      </c>
      <c r="L439" s="1">
        <f>IF(ISNA(VLOOKUP(A439,'Leghe Fantacalcio'!A:I,2,FALSE)),"",VLOOKUP(A439,'Leghe Fantacalcio'!A:I,2,FALSE))</f>
        <v>6190</v>
      </c>
      <c r="M439" s="1" t="str">
        <f>IF(ISNA(VLOOKUP(B439,'Leghe Fantacalcio'!A:I,2,FALSE)),"",VLOOKUP(B439,'Leghe Fantacalcio'!A:I,2,FALSE))</f>
        <v/>
      </c>
      <c r="N439" s="1">
        <f t="shared" si="26"/>
        <v>6190</v>
      </c>
      <c r="O439" s="1">
        <f>IFERROR(VLOOKUP(N439,'Leghe Fantacalcio'!B:I,8,FALSE),0)</f>
        <v>30</v>
      </c>
      <c r="P439" s="1" t="str">
        <f t="shared" si="27"/>
        <v>update giocatori set fvm = 30 where id = 1116597;</v>
      </c>
    </row>
    <row r="440" spans="1:16" x14ac:dyDescent="0.25">
      <c r="A440" s="1" t="str">
        <f t="shared" si="24"/>
        <v>RenschRoma</v>
      </c>
      <c r="B440" s="1" t="str">
        <f t="shared" si="25"/>
        <v>Rensch D.Roma</v>
      </c>
      <c r="C440" s="1">
        <v>1101933</v>
      </c>
      <c r="D440" s="1" t="s">
        <v>216</v>
      </c>
      <c r="E440" s="1" t="s">
        <v>593</v>
      </c>
      <c r="F440" s="1" t="s">
        <v>10</v>
      </c>
      <c r="G440" s="1" t="s">
        <v>92</v>
      </c>
      <c r="H440" s="1">
        <v>6</v>
      </c>
      <c r="I440" s="1">
        <v>9</v>
      </c>
      <c r="J440" s="1" t="str">
        <f>VLOOKUP(A440,'Leghe Fantacalcio'!A:I,1,FALSE)</f>
        <v>RenschRoma</v>
      </c>
      <c r="K440" s="1" t="e">
        <f>VLOOKUP(B440,'Leghe Fantacalcio'!A:I,1,FALSE)</f>
        <v>#N/A</v>
      </c>
      <c r="L440" s="1">
        <f>IF(ISNA(VLOOKUP(A440,'Leghe Fantacalcio'!A:I,2,FALSE)),"",VLOOKUP(A440,'Leghe Fantacalcio'!A:I,2,FALSE))</f>
        <v>6986</v>
      </c>
      <c r="M440" s="1" t="str">
        <f>IF(ISNA(VLOOKUP(B440,'Leghe Fantacalcio'!A:I,2,FALSE)),"",VLOOKUP(B440,'Leghe Fantacalcio'!A:I,2,FALSE))</f>
        <v/>
      </c>
      <c r="N440" s="1">
        <f t="shared" si="26"/>
        <v>6986</v>
      </c>
      <c r="O440" s="1">
        <f>IFERROR(VLOOKUP(N440,'Leghe Fantacalcio'!B:I,8,FALSE),0)</f>
        <v>13</v>
      </c>
      <c r="P440" s="1" t="str">
        <f t="shared" si="27"/>
        <v>update giocatori set fvm = 13 where id = 1101933;</v>
      </c>
    </row>
    <row r="441" spans="1:16" ht="14.5" x14ac:dyDescent="0.35">
      <c r="A441" s="1" t="str">
        <f t="shared" si="24"/>
        <v>MoraRoma</v>
      </c>
      <c r="B441" s="1" t="str">
        <f t="shared" si="25"/>
        <v>Mora Roma</v>
      </c>
      <c r="C441" s="1">
        <v>1120558</v>
      </c>
      <c r="D441" t="s">
        <v>291</v>
      </c>
      <c r="E441" s="1" t="s">
        <v>579</v>
      </c>
      <c r="F441" s="1" t="s">
        <v>10</v>
      </c>
      <c r="G441" s="1" t="s">
        <v>283</v>
      </c>
      <c r="H441" s="1">
        <v>6</v>
      </c>
      <c r="I441" s="1">
        <v>27</v>
      </c>
      <c r="J441" s="1" t="str">
        <f>VLOOKUP(A441,'Leghe Fantacalcio'!A:I,1,FALSE)</f>
        <v>MoraRoma</v>
      </c>
      <c r="K441" s="1" t="e">
        <f>VLOOKUP(B441,'Leghe Fantacalcio'!A:I,1,FALSE)</f>
        <v>#N/A</v>
      </c>
      <c r="L441" s="1">
        <f>IF(ISNA(VLOOKUP(A441,'Leghe Fantacalcio'!A:I,2,FALSE)),"",VLOOKUP(A441,'Leghe Fantacalcio'!A:I,2,FALSE))</f>
        <v>7556</v>
      </c>
      <c r="M441" s="1" t="str">
        <f>IF(ISNA(VLOOKUP(B441,'Leghe Fantacalcio'!A:I,2,FALSE)),"",VLOOKUP(B441,'Leghe Fantacalcio'!A:I,2,FALSE))</f>
        <v/>
      </c>
      <c r="N441" s="1">
        <f t="shared" si="26"/>
        <v>7556</v>
      </c>
      <c r="O441" s="1">
        <f>IFERROR(VLOOKUP(N441,'Leghe Fantacalcio'!B:I,8,FALSE),0)</f>
        <v>65</v>
      </c>
      <c r="P441" s="1" t="str">
        <f t="shared" si="27"/>
        <v>update giocatori set fvm = 65 where id = 1120558;</v>
      </c>
    </row>
    <row r="442" spans="1:16" ht="14.5" x14ac:dyDescent="0.35">
      <c r="A442" s="1" t="str">
        <f t="shared" si="24"/>
        <v>SoulèRoma</v>
      </c>
      <c r="B442" s="1" t="str">
        <f t="shared" si="25"/>
        <v>Soulè M.Roma</v>
      </c>
      <c r="C442" s="1">
        <v>1111438</v>
      </c>
      <c r="D442" t="s">
        <v>496</v>
      </c>
      <c r="E442" s="1" t="s">
        <v>572</v>
      </c>
      <c r="F442" s="1" t="s">
        <v>10</v>
      </c>
      <c r="G442" s="1" t="s">
        <v>478</v>
      </c>
      <c r="H442" s="1">
        <v>6</v>
      </c>
      <c r="I442" s="1">
        <v>46</v>
      </c>
      <c r="J442" s="1" t="str">
        <f>VLOOKUP(A442,'Leghe Fantacalcio'!A:I,1,FALSE)</f>
        <v>SoulèRoma</v>
      </c>
      <c r="K442" s="1" t="e">
        <f>VLOOKUP(B442,'Leghe Fantacalcio'!A:I,1,FALSE)</f>
        <v>#N/A</v>
      </c>
      <c r="L442" s="1">
        <f>IF(ISNA(VLOOKUP(A442,'Leghe Fantacalcio'!A:I,2,FALSE)),"",VLOOKUP(A442,'Leghe Fantacalcio'!A:I,2,FALSE))</f>
        <v>5734</v>
      </c>
      <c r="M442" s="1" t="str">
        <f>IF(ISNA(VLOOKUP(B442,'Leghe Fantacalcio'!A:I,2,FALSE)),"",VLOOKUP(B442,'Leghe Fantacalcio'!A:I,2,FALSE))</f>
        <v/>
      </c>
      <c r="N442" s="1">
        <f t="shared" si="26"/>
        <v>5734</v>
      </c>
      <c r="O442" s="1">
        <f>IFERROR(VLOOKUP(N442,'Leghe Fantacalcio'!B:I,8,FALSE),0)</f>
        <v>63</v>
      </c>
      <c r="P442" s="1" t="str">
        <f t="shared" si="27"/>
        <v>update giocatori set fvm = 63 where id = 1111438;</v>
      </c>
    </row>
    <row r="443" spans="1:16" x14ac:dyDescent="0.25">
      <c r="A443" s="1" t="str">
        <f t="shared" si="24"/>
        <v>SvilarRoma</v>
      </c>
      <c r="B443" s="1" t="str">
        <f t="shared" si="25"/>
        <v>Svilar M.Roma</v>
      </c>
      <c r="C443" s="1">
        <v>1060457</v>
      </c>
      <c r="D443" s="1" t="s">
        <v>9</v>
      </c>
      <c r="E443" s="1" t="s">
        <v>572</v>
      </c>
      <c r="F443" s="1" t="s">
        <v>10</v>
      </c>
      <c r="G443" s="1" t="s">
        <v>8</v>
      </c>
      <c r="H443" s="1">
        <v>6</v>
      </c>
      <c r="I443" s="1">
        <v>23</v>
      </c>
      <c r="J443" s="1" t="str">
        <f>VLOOKUP(A443,'Leghe Fantacalcio'!A:I,1,FALSE)</f>
        <v>SvilarRoma</v>
      </c>
      <c r="K443" s="1" t="e">
        <f>VLOOKUP(B443,'Leghe Fantacalcio'!A:I,1,FALSE)</f>
        <v>#N/A</v>
      </c>
      <c r="L443" s="1">
        <f>IF(ISNA(VLOOKUP(A443,'Leghe Fantacalcio'!A:I,2,FALSE)),"",VLOOKUP(A443,'Leghe Fantacalcio'!A:I,2,FALSE))</f>
        <v>5841</v>
      </c>
      <c r="M443" s="1" t="str">
        <f>IF(ISNA(VLOOKUP(B443,'Leghe Fantacalcio'!A:I,2,FALSE)),"",VLOOKUP(B443,'Leghe Fantacalcio'!A:I,2,FALSE))</f>
        <v/>
      </c>
      <c r="N443" s="1">
        <f t="shared" si="26"/>
        <v>5841</v>
      </c>
      <c r="O443" s="1">
        <f>IFERROR(VLOOKUP(N443,'Leghe Fantacalcio'!B:I,8,FALSE),0)</f>
        <v>90</v>
      </c>
      <c r="P443" s="1" t="str">
        <f t="shared" si="27"/>
        <v>update giocatori set fvm = 90 where id = 1060457;</v>
      </c>
    </row>
    <row r="444" spans="1:16" x14ac:dyDescent="0.25">
      <c r="A444" s="1" t="str">
        <f t="shared" si="24"/>
        <v>VasquezRoma</v>
      </c>
      <c r="B444" s="1" t="str">
        <f t="shared" si="25"/>
        <v>Vasquez D.Roma</v>
      </c>
      <c r="C444" s="1">
        <v>1116107</v>
      </c>
      <c r="D444" s="1" t="s">
        <v>123</v>
      </c>
      <c r="E444" s="1" t="s">
        <v>593</v>
      </c>
      <c r="F444" s="1" t="s">
        <v>10</v>
      </c>
      <c r="G444" s="1" t="s">
        <v>8</v>
      </c>
      <c r="H444" s="1">
        <v>6</v>
      </c>
      <c r="I444" s="1">
        <v>1</v>
      </c>
      <c r="J444" s="1" t="e">
        <f>VLOOKUP(A444,'Leghe Fantacalcio'!A:I,1,FALSE)</f>
        <v>#N/A</v>
      </c>
      <c r="K444" s="1" t="e">
        <f>VLOOKUP(B444,'Leghe Fantacalcio'!A:I,1,FALSE)</f>
        <v>#N/A</v>
      </c>
      <c r="L444" s="1" t="str">
        <f>IF(ISNA(VLOOKUP(A444,'Leghe Fantacalcio'!A:I,2,FALSE)),"",VLOOKUP(A444,'Leghe Fantacalcio'!A:I,2,FALSE))</f>
        <v/>
      </c>
      <c r="M444" s="1" t="str">
        <f>IF(ISNA(VLOOKUP(B444,'Leghe Fantacalcio'!A:I,2,FALSE)),"",VLOOKUP(B444,'Leghe Fantacalcio'!A:I,2,FALSE))</f>
        <v/>
      </c>
      <c r="N444" s="1" t="str">
        <f t="shared" si="26"/>
        <v/>
      </c>
      <c r="O444" s="1">
        <f>IFERROR(VLOOKUP(N444,'Leghe Fantacalcio'!B:I,8,FALSE),0)</f>
        <v>0</v>
      </c>
      <c r="P444" s="1" t="str">
        <f t="shared" si="27"/>
        <v>update giocatori set fvm = 0 where id = 1116107;</v>
      </c>
    </row>
    <row r="445" spans="1:16" x14ac:dyDescent="0.25">
      <c r="A445" s="1" t="str">
        <f t="shared" si="24"/>
        <v>WesleyRoma</v>
      </c>
      <c r="B445" s="1" t="str">
        <f t="shared" si="25"/>
        <v>Wesley Roma</v>
      </c>
      <c r="C445" s="1">
        <v>1119945</v>
      </c>
      <c r="D445" s="1" t="s">
        <v>94</v>
      </c>
      <c r="E445" s="1" t="s">
        <v>579</v>
      </c>
      <c r="F445" s="1" t="s">
        <v>10</v>
      </c>
      <c r="G445" s="1" t="s">
        <v>92</v>
      </c>
      <c r="H445" s="1">
        <v>6</v>
      </c>
      <c r="I445" s="1">
        <v>20</v>
      </c>
      <c r="J445" s="1" t="str">
        <f>VLOOKUP(A445,'Leghe Fantacalcio'!A:I,1,FALSE)</f>
        <v>WesleyRoma</v>
      </c>
      <c r="K445" s="1" t="e">
        <f>VLOOKUP(B445,'Leghe Fantacalcio'!A:I,1,FALSE)</f>
        <v>#N/A</v>
      </c>
      <c r="L445" s="1">
        <f>IF(ISNA(VLOOKUP(A445,'Leghe Fantacalcio'!A:I,2,FALSE)),"",VLOOKUP(A445,'Leghe Fantacalcio'!A:I,2,FALSE))</f>
        <v>7181</v>
      </c>
      <c r="M445" s="1" t="str">
        <f>IF(ISNA(VLOOKUP(B445,'Leghe Fantacalcio'!A:I,2,FALSE)),"",VLOOKUP(B445,'Leghe Fantacalcio'!A:I,2,FALSE))</f>
        <v/>
      </c>
      <c r="N445" s="1">
        <f t="shared" si="26"/>
        <v>7181</v>
      </c>
      <c r="O445" s="1">
        <f>IFERROR(VLOOKUP(N445,'Leghe Fantacalcio'!B:I,8,FALSE),0)</f>
        <v>93</v>
      </c>
      <c r="P445" s="1" t="str">
        <f t="shared" si="27"/>
        <v>update giocatori set fvm = 93 where id = 1119945;</v>
      </c>
    </row>
    <row r="446" spans="1:16" x14ac:dyDescent="0.25">
      <c r="A446" s="1" t="str">
        <f t="shared" si="24"/>
        <v>AdzicSassuolo</v>
      </c>
      <c r="B446" s="1" t="str">
        <f t="shared" si="25"/>
        <v>Adzic V.Sassuolo</v>
      </c>
      <c r="C446" s="1">
        <v>1117416</v>
      </c>
      <c r="D446" s="1" t="s">
        <v>325</v>
      </c>
      <c r="E446" s="1" t="s">
        <v>595</v>
      </c>
      <c r="F446" s="1" t="s">
        <v>46</v>
      </c>
      <c r="G446" s="1" t="s">
        <v>283</v>
      </c>
      <c r="H446" s="1">
        <v>6</v>
      </c>
      <c r="I446" s="1">
        <v>17</v>
      </c>
      <c r="J446" s="1" t="str">
        <f>VLOOKUP(A446,'Leghe Fantacalcio'!A:I,1,FALSE)</f>
        <v>AdzicSassuolo</v>
      </c>
      <c r="K446" s="1" t="e">
        <f>VLOOKUP(B446,'Leghe Fantacalcio'!A:I,1,FALSE)</f>
        <v>#N/A</v>
      </c>
      <c r="L446" s="1">
        <f>IF(ISNA(VLOOKUP(A446,'Leghe Fantacalcio'!A:I,2,FALSE)),"",VLOOKUP(A446,'Leghe Fantacalcio'!A:I,2,FALSE))</f>
        <v>6677</v>
      </c>
      <c r="M446" s="1" t="str">
        <f>IF(ISNA(VLOOKUP(B446,'Leghe Fantacalcio'!A:I,2,FALSE)),"",VLOOKUP(B446,'Leghe Fantacalcio'!A:I,2,FALSE))</f>
        <v/>
      </c>
      <c r="N446" s="1">
        <f t="shared" si="26"/>
        <v>6677</v>
      </c>
      <c r="O446" s="1">
        <f>IFERROR(VLOOKUP(N446,'Leghe Fantacalcio'!B:I,8,FALSE),0)</f>
        <v>37</v>
      </c>
      <c r="P446" s="1" t="str">
        <f t="shared" si="27"/>
        <v>update giocatori set fvm = 37 where id = 1117416;</v>
      </c>
    </row>
    <row r="447" spans="1:16" x14ac:dyDescent="0.25">
      <c r="A447" s="1" t="str">
        <f t="shared" si="24"/>
        <v>BakolaSassuolo</v>
      </c>
      <c r="B447" s="1" t="str">
        <f t="shared" si="25"/>
        <v>Bakola D.Sassuolo</v>
      </c>
      <c r="C447" s="1">
        <v>1119493</v>
      </c>
      <c r="D447" s="1" t="s">
        <v>358</v>
      </c>
      <c r="E447" s="1" t="s">
        <v>593</v>
      </c>
      <c r="F447" s="1" t="s">
        <v>46</v>
      </c>
      <c r="G447" s="1" t="s">
        <v>283</v>
      </c>
      <c r="H447" s="1">
        <v>6</v>
      </c>
      <c r="I447" s="1">
        <v>9</v>
      </c>
      <c r="J447" s="1" t="str">
        <f>VLOOKUP(A447,'Leghe Fantacalcio'!A:I,1,FALSE)</f>
        <v>BakolaSassuolo</v>
      </c>
      <c r="K447" s="1" t="e">
        <f>VLOOKUP(B447,'Leghe Fantacalcio'!A:I,1,FALSE)</f>
        <v>#N/A</v>
      </c>
      <c r="L447" s="1">
        <f>IF(ISNA(VLOOKUP(A447,'Leghe Fantacalcio'!A:I,2,FALSE)),"",VLOOKUP(A447,'Leghe Fantacalcio'!A:I,2,FALSE))</f>
        <v>7036</v>
      </c>
      <c r="M447" s="1" t="str">
        <f>IF(ISNA(VLOOKUP(B447,'Leghe Fantacalcio'!A:I,2,FALSE)),"",VLOOKUP(B447,'Leghe Fantacalcio'!A:I,2,FALSE))</f>
        <v/>
      </c>
      <c r="N447" s="1">
        <f t="shared" si="26"/>
        <v>7036</v>
      </c>
      <c r="O447" s="1">
        <f>IFERROR(VLOOKUP(N447,'Leghe Fantacalcio'!B:I,8,FALSE),0)</f>
        <v>17</v>
      </c>
      <c r="P447" s="1" t="str">
        <f t="shared" si="27"/>
        <v>update giocatori set fvm = 17 where id = 1119493;</v>
      </c>
    </row>
    <row r="448" spans="1:16" x14ac:dyDescent="0.25">
      <c r="A448" s="1" t="str">
        <f t="shared" si="24"/>
        <v>BerardiSassuolo</v>
      </c>
      <c r="B448" s="1" t="str">
        <f t="shared" si="25"/>
        <v>Berardi D.Sassuolo</v>
      </c>
      <c r="C448" s="1">
        <v>1035059</v>
      </c>
      <c r="D448" s="1" t="s">
        <v>492</v>
      </c>
      <c r="E448" s="1" t="s">
        <v>593</v>
      </c>
      <c r="F448" s="1" t="s">
        <v>46</v>
      </c>
      <c r="G448" s="1" t="s">
        <v>478</v>
      </c>
      <c r="H448" s="1">
        <v>6</v>
      </c>
      <c r="I448" s="1">
        <v>39</v>
      </c>
      <c r="J448" s="1" t="str">
        <f>VLOOKUP(A448,'Leghe Fantacalcio'!A:I,1,FALSE)</f>
        <v>BerardiSassuolo</v>
      </c>
      <c r="K448" s="1" t="e">
        <f>VLOOKUP(B448,'Leghe Fantacalcio'!A:I,1,FALSE)</f>
        <v>#N/A</v>
      </c>
      <c r="L448" s="1">
        <f>IF(ISNA(VLOOKUP(A448,'Leghe Fantacalcio'!A:I,2,FALSE)),"",VLOOKUP(A448,'Leghe Fantacalcio'!A:I,2,FALSE))</f>
        <v>531</v>
      </c>
      <c r="M448" s="1" t="str">
        <f>IF(ISNA(VLOOKUP(B448,'Leghe Fantacalcio'!A:I,2,FALSE)),"",VLOOKUP(B448,'Leghe Fantacalcio'!A:I,2,FALSE))</f>
        <v/>
      </c>
      <c r="N448" s="1">
        <f t="shared" si="26"/>
        <v>531</v>
      </c>
      <c r="O448" s="1">
        <f>IFERROR(VLOOKUP(N448,'Leghe Fantacalcio'!B:I,8,FALSE),0)</f>
        <v>103</v>
      </c>
      <c r="P448" s="1" t="str">
        <f t="shared" si="27"/>
        <v>update giocatori set fvm = 103 where id = 1035059;</v>
      </c>
    </row>
    <row r="449" spans="1:16" x14ac:dyDescent="0.25">
      <c r="A449" s="1" t="str">
        <f t="shared" si="24"/>
        <v>BolocaSassuolo</v>
      </c>
      <c r="B449" s="1" t="str">
        <f t="shared" si="25"/>
        <v>Boloca D.Sassuolo</v>
      </c>
      <c r="C449" s="1">
        <v>1096480</v>
      </c>
      <c r="D449" s="1" t="s">
        <v>467</v>
      </c>
      <c r="E449" s="1" t="s">
        <v>593</v>
      </c>
      <c r="F449" s="1" t="s">
        <v>46</v>
      </c>
      <c r="G449" s="1" t="s">
        <v>283</v>
      </c>
      <c r="H449" s="1">
        <v>6</v>
      </c>
      <c r="I449" s="1">
        <v>4</v>
      </c>
      <c r="J449" s="1" t="str">
        <f>VLOOKUP(A449,'Leghe Fantacalcio'!A:I,1,FALSE)</f>
        <v>BolocaSassuolo</v>
      </c>
      <c r="K449" s="1" t="e">
        <f>VLOOKUP(B449,'Leghe Fantacalcio'!A:I,1,FALSE)</f>
        <v>#N/A</v>
      </c>
      <c r="L449" s="1">
        <f>IF(ISNA(VLOOKUP(A449,'Leghe Fantacalcio'!A:I,2,FALSE)),"",VLOOKUP(A449,'Leghe Fantacalcio'!A:I,2,FALSE))</f>
        <v>6219</v>
      </c>
      <c r="M449" s="1" t="str">
        <f>IF(ISNA(VLOOKUP(B449,'Leghe Fantacalcio'!A:I,2,FALSE)),"",VLOOKUP(B449,'Leghe Fantacalcio'!A:I,2,FALSE))</f>
        <v/>
      </c>
      <c r="N449" s="1">
        <f t="shared" si="26"/>
        <v>6219</v>
      </c>
      <c r="O449" s="1">
        <f>IFERROR(VLOOKUP(N449,'Leghe Fantacalcio'!B:I,8,FALSE),0)</f>
        <v>5</v>
      </c>
      <c r="P449" s="1" t="str">
        <f t="shared" si="27"/>
        <v>update giocatori set fvm = 5 where id = 1096480;</v>
      </c>
    </row>
    <row r="450" spans="1:16" x14ac:dyDescent="0.25">
      <c r="A450" s="1" t="str">
        <f t="shared" ref="A450:A513" si="28">CONCATENATE(D450,F450)</f>
        <v>BowieSassuolo</v>
      </c>
      <c r="B450" s="1" t="str">
        <f t="shared" si="25"/>
        <v>Bowie K.Sassuolo</v>
      </c>
      <c r="C450" s="1">
        <v>1120319</v>
      </c>
      <c r="D450" s="1" t="s">
        <v>509</v>
      </c>
      <c r="E450" s="1" t="s">
        <v>586</v>
      </c>
      <c r="F450" s="1" t="s">
        <v>46</v>
      </c>
      <c r="G450" s="1" t="s">
        <v>478</v>
      </c>
      <c r="H450" s="1">
        <v>6</v>
      </c>
      <c r="I450" s="1">
        <v>25</v>
      </c>
      <c r="J450" s="1" t="str">
        <f>VLOOKUP(A450,'Leghe Fantacalcio'!A:I,1,FALSE)</f>
        <v>BowieSassuolo</v>
      </c>
      <c r="K450" s="1" t="e">
        <f>VLOOKUP(B450,'Leghe Fantacalcio'!A:I,1,FALSE)</f>
        <v>#N/A</v>
      </c>
      <c r="L450" s="1">
        <f>IF(ISNA(VLOOKUP(A450,'Leghe Fantacalcio'!A:I,2,FALSE)),"",VLOOKUP(A450,'Leghe Fantacalcio'!A:I,2,FALSE))</f>
        <v>7347</v>
      </c>
      <c r="M450" s="1" t="str">
        <f>IF(ISNA(VLOOKUP(B450,'Leghe Fantacalcio'!A:I,2,FALSE)),"",VLOOKUP(B450,'Leghe Fantacalcio'!A:I,2,FALSE))</f>
        <v/>
      </c>
      <c r="N450" s="1">
        <f t="shared" si="26"/>
        <v>7347</v>
      </c>
      <c r="O450" s="1">
        <f>IFERROR(VLOOKUP(N450,'Leghe Fantacalcio'!B:I,8,FALSE),0)</f>
        <v>33</v>
      </c>
      <c r="P450" s="1" t="str">
        <f t="shared" si="27"/>
        <v>update giocatori set fvm = 33 where id = 1120319;</v>
      </c>
    </row>
    <row r="451" spans="1:16" x14ac:dyDescent="0.25">
      <c r="A451" s="1" t="str">
        <f t="shared" si="28"/>
        <v>Caleta-CarSassuolo</v>
      </c>
      <c r="B451" s="1" t="str">
        <f t="shared" ref="B451:B514" si="29">CONCATENATE(D451," ",E451,F451)</f>
        <v>Caleta-Car D.Sassuolo</v>
      </c>
      <c r="C451" s="1">
        <v>1043291</v>
      </c>
      <c r="D451" s="1" t="s">
        <v>174</v>
      </c>
      <c r="E451" s="1" t="s">
        <v>593</v>
      </c>
      <c r="F451" s="1" t="s">
        <v>46</v>
      </c>
      <c r="G451" s="1" t="s">
        <v>92</v>
      </c>
      <c r="H451" s="1">
        <v>6</v>
      </c>
      <c r="I451" s="1">
        <v>8</v>
      </c>
      <c r="J451" s="1" t="str">
        <f>VLOOKUP(A451,'Leghe Fantacalcio'!A:I,1,FALSE)</f>
        <v>Caleta-CarSassuolo</v>
      </c>
      <c r="K451" s="1" t="e">
        <f>VLOOKUP(B451,'Leghe Fantacalcio'!A:I,1,FALSE)</f>
        <v>#N/A</v>
      </c>
      <c r="L451" s="1">
        <f>IF(ISNA(VLOOKUP(A451,'Leghe Fantacalcio'!A:I,2,FALSE)),"",VLOOKUP(A451,'Leghe Fantacalcio'!A:I,2,FALSE))</f>
        <v>4147</v>
      </c>
      <c r="M451" s="1" t="str">
        <f>IF(ISNA(VLOOKUP(B451,'Leghe Fantacalcio'!A:I,2,FALSE)),"",VLOOKUP(B451,'Leghe Fantacalcio'!A:I,2,FALSE))</f>
        <v/>
      </c>
      <c r="N451" s="1">
        <f t="shared" ref="N451:N514" si="30">IFERROR(VALUE(CONCATENATE(L451,M451)),"")</f>
        <v>4147</v>
      </c>
      <c r="O451" s="1">
        <f>IFERROR(VLOOKUP(N451,'Leghe Fantacalcio'!B:I,8,FALSE),0)</f>
        <v>11</v>
      </c>
      <c r="P451" s="1" t="str">
        <f t="shared" ref="P451:P514" si="31">CONCATENATE("update giocatori set fvm = ",O451," where id = ",C451,";")</f>
        <v>update giocatori set fvm = 11 where id = 1043291;</v>
      </c>
    </row>
    <row r="452" spans="1:16" x14ac:dyDescent="0.25">
      <c r="A452" s="1" t="str">
        <f t="shared" si="28"/>
        <v>CinquegranoSassuolo</v>
      </c>
      <c r="B452" s="1" t="str">
        <f t="shared" si="29"/>
        <v>Cinquegrano S.Sassuolo</v>
      </c>
      <c r="C452" s="1">
        <v>1120240</v>
      </c>
      <c r="D452" s="1" t="s">
        <v>198</v>
      </c>
      <c r="E452" s="1" t="s">
        <v>580</v>
      </c>
      <c r="F452" s="1" t="s">
        <v>46</v>
      </c>
      <c r="G452" s="1" t="s">
        <v>283</v>
      </c>
      <c r="H452" s="1">
        <v>6</v>
      </c>
      <c r="I452" s="1">
        <v>2</v>
      </c>
      <c r="J452" s="1" t="str">
        <f>VLOOKUP(A452,'Leghe Fantacalcio'!A:I,1,FALSE)</f>
        <v>CinquegranoSassuolo</v>
      </c>
      <c r="K452" s="1" t="e">
        <f>VLOOKUP(B452,'Leghe Fantacalcio'!A:I,1,FALSE)</f>
        <v>#N/A</v>
      </c>
      <c r="L452" s="1">
        <f>IF(ISNA(VLOOKUP(A452,'Leghe Fantacalcio'!A:I,2,FALSE)),"",VLOOKUP(A452,'Leghe Fantacalcio'!A:I,2,FALSE))</f>
        <v>7573</v>
      </c>
      <c r="M452" s="1" t="str">
        <f>IF(ISNA(VLOOKUP(B452,'Leghe Fantacalcio'!A:I,2,FALSE)),"",VLOOKUP(B452,'Leghe Fantacalcio'!A:I,2,FALSE))</f>
        <v/>
      </c>
      <c r="N452" s="1">
        <f t="shared" si="30"/>
        <v>7573</v>
      </c>
      <c r="O452" s="1">
        <f>IFERROR(VLOOKUP(N452,'Leghe Fantacalcio'!B:I,8,FALSE),0)</f>
        <v>11</v>
      </c>
      <c r="P452" s="1" t="str">
        <f t="shared" si="31"/>
        <v>update giocatori set fvm = 11 where id = 1120240;</v>
      </c>
    </row>
    <row r="453" spans="1:16" x14ac:dyDescent="0.25">
      <c r="A453" s="1" t="str">
        <f t="shared" si="28"/>
        <v>DoigSassuolo</v>
      </c>
      <c r="B453" s="1" t="str">
        <f t="shared" si="29"/>
        <v>Doig J.Sassuolo</v>
      </c>
      <c r="C453" s="1">
        <v>1114323</v>
      </c>
      <c r="D453" s="1" t="s">
        <v>139</v>
      </c>
      <c r="E453" s="1" t="s">
        <v>571</v>
      </c>
      <c r="F453" s="1" t="s">
        <v>46</v>
      </c>
      <c r="G453" s="1" t="s">
        <v>92</v>
      </c>
      <c r="H453" s="1">
        <v>6</v>
      </c>
      <c r="I453" s="1">
        <v>8</v>
      </c>
      <c r="J453" s="1" t="str">
        <f>VLOOKUP(A453,'Leghe Fantacalcio'!A:I,1,FALSE)</f>
        <v>DoigSassuolo</v>
      </c>
      <c r="K453" s="1" t="e">
        <f>VLOOKUP(B453,'Leghe Fantacalcio'!A:I,1,FALSE)</f>
        <v>#N/A</v>
      </c>
      <c r="L453" s="1">
        <f>IF(ISNA(VLOOKUP(A453,'Leghe Fantacalcio'!A:I,2,FALSE)),"",VLOOKUP(A453,'Leghe Fantacalcio'!A:I,2,FALSE))</f>
        <v>5851</v>
      </c>
      <c r="M453" s="1" t="str">
        <f>IF(ISNA(VLOOKUP(B453,'Leghe Fantacalcio'!A:I,2,FALSE)),"",VLOOKUP(B453,'Leghe Fantacalcio'!A:I,2,FALSE))</f>
        <v/>
      </c>
      <c r="N453" s="1">
        <f t="shared" si="30"/>
        <v>5851</v>
      </c>
      <c r="O453" s="1">
        <f>IFERROR(VLOOKUP(N453,'Leghe Fantacalcio'!B:I,8,FALSE),0)</f>
        <v>12</v>
      </c>
      <c r="P453" s="1" t="str">
        <f t="shared" si="31"/>
        <v>update giocatori set fvm = 12 where id = 1114323;</v>
      </c>
    </row>
    <row r="454" spans="1:16" x14ac:dyDescent="0.25">
      <c r="A454" s="1" t="str">
        <f t="shared" si="28"/>
        <v>DominguezSassuolo</v>
      </c>
      <c r="B454" s="1" t="str">
        <f t="shared" si="29"/>
        <v>Dominguez B.Sassuolo</v>
      </c>
      <c r="C454" s="1">
        <v>1119760</v>
      </c>
      <c r="D454" s="1" t="s">
        <v>675</v>
      </c>
      <c r="E454" s="1" t="s">
        <v>597</v>
      </c>
      <c r="F454" s="1" t="s">
        <v>46</v>
      </c>
      <c r="G454" s="1" t="s">
        <v>478</v>
      </c>
      <c r="H454" s="1">
        <v>6</v>
      </c>
      <c r="I454" s="1">
        <v>16</v>
      </c>
      <c r="J454" s="1" t="e">
        <f>VLOOKUP(A454,'Leghe Fantacalcio'!A:I,1,FALSE)</f>
        <v>#N/A</v>
      </c>
      <c r="K454" s="1" t="str">
        <f>VLOOKUP(B454,'Leghe Fantacalcio'!A:I,1,FALSE)</f>
        <v>Dominguez B.Sassuolo</v>
      </c>
      <c r="L454" s="1" t="str">
        <f>IF(ISNA(VLOOKUP(A454,'Leghe Fantacalcio'!A:I,2,FALSE)),"",VLOOKUP(A454,'Leghe Fantacalcio'!A:I,2,FALSE))</f>
        <v/>
      </c>
      <c r="M454" s="1">
        <f>IF(ISNA(VLOOKUP(B454,'Leghe Fantacalcio'!A:I,2,FALSE)),"",VLOOKUP(B454,'Leghe Fantacalcio'!A:I,2,FALSE))</f>
        <v>6895</v>
      </c>
      <c r="N454" s="1">
        <f t="shared" si="30"/>
        <v>6895</v>
      </c>
      <c r="O454" s="1">
        <f>IFERROR(VLOOKUP(N454,'Leghe Fantacalcio'!B:I,8,FALSE),0)</f>
        <v>12</v>
      </c>
      <c r="P454" s="1" t="str">
        <f t="shared" si="31"/>
        <v>update giocatori set fvm = 12 where id = 1119760;</v>
      </c>
    </row>
    <row r="455" spans="1:16" ht="14.5" x14ac:dyDescent="0.35">
      <c r="A455" s="1" t="str">
        <f t="shared" si="28"/>
        <v>Esposito Se.Sassuolo</v>
      </c>
      <c r="B455" s="1" t="str">
        <f t="shared" si="29"/>
        <v>Esposito Se. S.Sassuolo</v>
      </c>
      <c r="C455" s="1">
        <v>1070991</v>
      </c>
      <c r="D455" t="s">
        <v>501</v>
      </c>
      <c r="E455" s="1" t="s">
        <v>580</v>
      </c>
      <c r="F455" s="1" t="s">
        <v>46</v>
      </c>
      <c r="G455" s="1" t="s">
        <v>478</v>
      </c>
      <c r="H455" s="1">
        <v>6</v>
      </c>
      <c r="I455" s="1">
        <v>30</v>
      </c>
      <c r="J455" s="1" t="str">
        <f>VLOOKUP(A455,'Leghe Fantacalcio'!A:I,1,FALSE)</f>
        <v>Esposito Se.Sassuolo</v>
      </c>
      <c r="K455" s="1" t="e">
        <f>VLOOKUP(B455,'Leghe Fantacalcio'!A:I,1,FALSE)</f>
        <v>#N/A</v>
      </c>
      <c r="L455" s="1">
        <f>IF(ISNA(VLOOKUP(A455,'Leghe Fantacalcio'!A:I,2,FALSE)),"",VLOOKUP(A455,'Leghe Fantacalcio'!A:I,2,FALSE))</f>
        <v>4463</v>
      </c>
      <c r="M455" s="1" t="str">
        <f>IF(ISNA(VLOOKUP(B455,'Leghe Fantacalcio'!A:I,2,FALSE)),"",VLOOKUP(B455,'Leghe Fantacalcio'!A:I,2,FALSE))</f>
        <v/>
      </c>
      <c r="N455" s="1">
        <f t="shared" si="30"/>
        <v>4463</v>
      </c>
      <c r="O455" s="1">
        <f>IFERROR(VLOOKUP(N455,'Leghe Fantacalcio'!B:I,8,FALSE),0)</f>
        <v>41</v>
      </c>
      <c r="P455" s="1" t="str">
        <f t="shared" si="31"/>
        <v>update giocatori set fvm = 41 where id = 1070991;</v>
      </c>
    </row>
    <row r="456" spans="1:16" x14ac:dyDescent="0.25">
      <c r="A456" s="1" t="str">
        <f t="shared" si="28"/>
        <v>Fali CandeSassuolo</v>
      </c>
      <c r="B456" s="1" t="str">
        <f t="shared" si="29"/>
        <v>Fali Cande Sassuolo</v>
      </c>
      <c r="C456" s="1">
        <v>1112699</v>
      </c>
      <c r="D456" s="1" t="s">
        <v>616</v>
      </c>
      <c r="E456" s="1" t="s">
        <v>579</v>
      </c>
      <c r="F456" s="1" t="s">
        <v>46</v>
      </c>
      <c r="G456" s="1" t="s">
        <v>92</v>
      </c>
      <c r="H456" s="1">
        <v>6</v>
      </c>
      <c r="I456" s="1">
        <v>2</v>
      </c>
      <c r="J456" s="1" t="e">
        <f>VLOOKUP(A456,'Leghe Fantacalcio'!A:I,1,FALSE)</f>
        <v>#N/A</v>
      </c>
      <c r="K456" s="1" t="e">
        <f>VLOOKUP(B456,'Leghe Fantacalcio'!A:I,1,FALSE)</f>
        <v>#N/A</v>
      </c>
      <c r="L456" s="1" t="str">
        <f>IF(ISNA(VLOOKUP(A456,'Leghe Fantacalcio'!A:I,2,FALSE)),"",VLOOKUP(A456,'Leghe Fantacalcio'!A:I,2,FALSE))</f>
        <v/>
      </c>
      <c r="M456" s="1" t="str">
        <f>IF(ISNA(VLOOKUP(B456,'Leghe Fantacalcio'!A:I,2,FALSE)),"",VLOOKUP(B456,'Leghe Fantacalcio'!A:I,2,FALSE))</f>
        <v/>
      </c>
      <c r="N456" s="1" t="str">
        <f t="shared" si="30"/>
        <v/>
      </c>
      <c r="O456" s="1">
        <f>IFERROR(VLOOKUP(N456,'Leghe Fantacalcio'!B:I,8,FALSE),0)</f>
        <v>0</v>
      </c>
      <c r="P456" s="1" t="str">
        <f t="shared" si="31"/>
        <v>update giocatori set fvm = 0 where id = 1112699;</v>
      </c>
    </row>
    <row r="457" spans="1:16" x14ac:dyDescent="0.25">
      <c r="A457" s="1" t="str">
        <f t="shared" si="28"/>
        <v>GhionSassuolo</v>
      </c>
      <c r="B457" s="1" t="str">
        <f t="shared" si="29"/>
        <v>Ghion A.Sassuolo</v>
      </c>
      <c r="C457" s="1">
        <v>1071361</v>
      </c>
      <c r="D457" s="1" t="s">
        <v>644</v>
      </c>
      <c r="E457" s="1" t="s">
        <v>584</v>
      </c>
      <c r="F457" s="1" t="s">
        <v>46</v>
      </c>
      <c r="G457" s="1" t="s">
        <v>283</v>
      </c>
      <c r="H457" s="1">
        <v>6</v>
      </c>
      <c r="I457" s="1">
        <v>1</v>
      </c>
      <c r="J457" s="1" t="e">
        <f>VLOOKUP(A457,'Leghe Fantacalcio'!A:I,1,FALSE)</f>
        <v>#N/A</v>
      </c>
      <c r="K457" s="1" t="e">
        <f>VLOOKUP(B457,'Leghe Fantacalcio'!A:I,1,FALSE)</f>
        <v>#N/A</v>
      </c>
      <c r="L457" s="1" t="str">
        <f>IF(ISNA(VLOOKUP(A457,'Leghe Fantacalcio'!A:I,2,FALSE)),"",VLOOKUP(A457,'Leghe Fantacalcio'!A:I,2,FALSE))</f>
        <v/>
      </c>
      <c r="M457" s="1" t="str">
        <f>IF(ISNA(VLOOKUP(B457,'Leghe Fantacalcio'!A:I,2,FALSE)),"",VLOOKUP(B457,'Leghe Fantacalcio'!A:I,2,FALSE))</f>
        <v/>
      </c>
      <c r="N457" s="1" t="str">
        <f t="shared" si="30"/>
        <v/>
      </c>
      <c r="O457" s="1">
        <f>IFERROR(VLOOKUP(N457,'Leghe Fantacalcio'!B:I,8,FALSE),0)</f>
        <v>0</v>
      </c>
      <c r="P457" s="1" t="str">
        <f t="shared" si="31"/>
        <v>update giocatori set fvm = 0 where id = 1071361;</v>
      </c>
    </row>
    <row r="458" spans="1:16" x14ac:dyDescent="0.25">
      <c r="A458" s="1" t="str">
        <f t="shared" si="28"/>
        <v>IdzesSassuolo</v>
      </c>
      <c r="B458" s="1" t="str">
        <f t="shared" si="29"/>
        <v>Idzes J.Sassuolo</v>
      </c>
      <c r="C458" s="1">
        <v>1117802</v>
      </c>
      <c r="D458" s="1" t="s">
        <v>154</v>
      </c>
      <c r="E458" s="1" t="s">
        <v>571</v>
      </c>
      <c r="F458" s="1" t="s">
        <v>46</v>
      </c>
      <c r="G458" s="1" t="s">
        <v>92</v>
      </c>
      <c r="H458" s="1">
        <v>6</v>
      </c>
      <c r="I458" s="1">
        <v>5</v>
      </c>
      <c r="J458" s="1" t="str">
        <f>VLOOKUP(A458,'Leghe Fantacalcio'!A:I,1,FALSE)</f>
        <v>IdzesSassuolo</v>
      </c>
      <c r="K458" s="1" t="e">
        <f>VLOOKUP(B458,'Leghe Fantacalcio'!A:I,1,FALSE)</f>
        <v>#N/A</v>
      </c>
      <c r="L458" s="1">
        <f>IF(ISNA(VLOOKUP(A458,'Leghe Fantacalcio'!A:I,2,FALSE)),"",VLOOKUP(A458,'Leghe Fantacalcio'!A:I,2,FALSE))</f>
        <v>6672</v>
      </c>
      <c r="M458" s="1" t="str">
        <f>IF(ISNA(VLOOKUP(B458,'Leghe Fantacalcio'!A:I,2,FALSE)),"",VLOOKUP(B458,'Leghe Fantacalcio'!A:I,2,FALSE))</f>
        <v/>
      </c>
      <c r="N458" s="1">
        <f t="shared" si="30"/>
        <v>6672</v>
      </c>
      <c r="O458" s="1">
        <f>IFERROR(VLOOKUP(N458,'Leghe Fantacalcio'!B:I,8,FALSE),0)</f>
        <v>14</v>
      </c>
      <c r="P458" s="1" t="str">
        <f t="shared" si="31"/>
        <v>update giocatori set fvm = 14 where id = 1117802;</v>
      </c>
    </row>
    <row r="459" spans="1:16" ht="14.5" x14ac:dyDescent="0.35">
      <c r="A459" s="1" t="str">
        <f t="shared" si="28"/>
        <v>Konè I.Sassuolo</v>
      </c>
      <c r="B459" s="1" t="str">
        <f t="shared" si="29"/>
        <v>Konè I. I.Sassuolo</v>
      </c>
      <c r="C459" s="1">
        <v>1114529</v>
      </c>
      <c r="D459" t="s">
        <v>369</v>
      </c>
      <c r="E459" s="1" t="s">
        <v>600</v>
      </c>
      <c r="F459" s="1" t="s">
        <v>46</v>
      </c>
      <c r="G459" s="1" t="s">
        <v>283</v>
      </c>
      <c r="H459" s="1">
        <v>6</v>
      </c>
      <c r="I459" s="1">
        <v>17</v>
      </c>
      <c r="J459" s="1" t="str">
        <f>VLOOKUP(A459,'Leghe Fantacalcio'!A:I,1,FALSE)</f>
        <v>Konè I.Sassuolo</v>
      </c>
      <c r="K459" s="1" t="e">
        <f>VLOOKUP(B459,'Leghe Fantacalcio'!A:I,1,FALSE)</f>
        <v>#N/A</v>
      </c>
      <c r="L459" s="1">
        <f>IF(ISNA(VLOOKUP(A459,'Leghe Fantacalcio'!A:I,2,FALSE)),"",VLOOKUP(A459,'Leghe Fantacalcio'!A:I,2,FALSE))</f>
        <v>6717</v>
      </c>
      <c r="M459" s="1" t="str">
        <f>IF(ISNA(VLOOKUP(B459,'Leghe Fantacalcio'!A:I,2,FALSE)),"",VLOOKUP(B459,'Leghe Fantacalcio'!A:I,2,FALSE))</f>
        <v/>
      </c>
      <c r="N459" s="1">
        <f t="shared" si="30"/>
        <v>6717</v>
      </c>
      <c r="O459" s="1">
        <f>IFERROR(VLOOKUP(N459,'Leghe Fantacalcio'!B:I,8,FALSE),0)</f>
        <v>20</v>
      </c>
      <c r="P459" s="1" t="str">
        <f t="shared" si="31"/>
        <v>update giocatori set fvm = 20 where id = 1114529;</v>
      </c>
    </row>
    <row r="460" spans="1:16" x14ac:dyDescent="0.25">
      <c r="A460" s="1" t="str">
        <f t="shared" si="28"/>
        <v>KullaSassuolo</v>
      </c>
      <c r="B460" s="1" t="str">
        <f t="shared" si="29"/>
        <v>Kulla G.Sassuolo</v>
      </c>
      <c r="C460" s="1">
        <v>1120553</v>
      </c>
      <c r="D460" s="1" t="s">
        <v>678</v>
      </c>
      <c r="E460" s="1" t="s">
        <v>575</v>
      </c>
      <c r="F460" s="1" t="s">
        <v>46</v>
      </c>
      <c r="G460" s="1" t="s">
        <v>478</v>
      </c>
      <c r="H460" s="1">
        <v>6</v>
      </c>
      <c r="I460" s="1">
        <v>1</v>
      </c>
      <c r="J460" s="1" t="e">
        <f>VLOOKUP(A460,'Leghe Fantacalcio'!A:I,1,FALSE)</f>
        <v>#N/A</v>
      </c>
      <c r="K460" s="1" t="e">
        <f>VLOOKUP(B460,'Leghe Fantacalcio'!A:I,1,FALSE)</f>
        <v>#N/A</v>
      </c>
      <c r="L460" s="1" t="str">
        <f>IF(ISNA(VLOOKUP(A460,'Leghe Fantacalcio'!A:I,2,FALSE)),"",VLOOKUP(A460,'Leghe Fantacalcio'!A:I,2,FALSE))</f>
        <v/>
      </c>
      <c r="M460" s="1" t="str">
        <f>IF(ISNA(VLOOKUP(B460,'Leghe Fantacalcio'!A:I,2,FALSE)),"",VLOOKUP(B460,'Leghe Fantacalcio'!A:I,2,FALSE))</f>
        <v/>
      </c>
      <c r="N460" s="1" t="str">
        <f t="shared" si="30"/>
        <v/>
      </c>
      <c r="O460" s="1">
        <f>IFERROR(VLOOKUP(N460,'Leghe Fantacalcio'!B:I,8,FALSE),0)</f>
        <v>0</v>
      </c>
      <c r="P460" s="1" t="str">
        <f t="shared" si="31"/>
        <v>update giocatori set fvm = 0 where id = 1120553;</v>
      </c>
    </row>
    <row r="461" spans="1:16" ht="14.5" x14ac:dyDescent="0.35">
      <c r="A461" s="1" t="str">
        <f t="shared" si="28"/>
        <v>LaurientèSassuolo</v>
      </c>
      <c r="B461" s="1" t="str">
        <f t="shared" si="29"/>
        <v>Laurientè A.Sassuolo</v>
      </c>
      <c r="C461" s="1">
        <v>1095435</v>
      </c>
      <c r="D461" t="s">
        <v>497</v>
      </c>
      <c r="E461" s="1" t="s">
        <v>584</v>
      </c>
      <c r="F461" s="1" t="s">
        <v>46</v>
      </c>
      <c r="G461" s="1" t="s">
        <v>478</v>
      </c>
      <c r="H461" s="1">
        <v>6</v>
      </c>
      <c r="I461" s="1">
        <v>37</v>
      </c>
      <c r="J461" s="1" t="str">
        <f>VLOOKUP(A461,'Leghe Fantacalcio'!A:I,1,FALSE)</f>
        <v>LaurientèSassuolo</v>
      </c>
      <c r="K461" s="1" t="e">
        <f>VLOOKUP(B461,'Leghe Fantacalcio'!A:I,1,FALSE)</f>
        <v>#N/A</v>
      </c>
      <c r="L461" s="1">
        <f>IF(ISNA(VLOOKUP(A461,'Leghe Fantacalcio'!A:I,2,FALSE)),"",VLOOKUP(A461,'Leghe Fantacalcio'!A:I,2,FALSE))</f>
        <v>6060</v>
      </c>
      <c r="M461" s="1" t="str">
        <f>IF(ISNA(VLOOKUP(B461,'Leghe Fantacalcio'!A:I,2,FALSE)),"",VLOOKUP(B461,'Leghe Fantacalcio'!A:I,2,FALSE))</f>
        <v/>
      </c>
      <c r="N461" s="1">
        <f t="shared" si="30"/>
        <v>6060</v>
      </c>
      <c r="O461" s="1">
        <f>IFERROR(VLOOKUP(N461,'Leghe Fantacalcio'!B:I,8,FALSE),0)</f>
        <v>77</v>
      </c>
      <c r="P461" s="1" t="str">
        <f t="shared" si="31"/>
        <v>update giocatori set fvm = 77 where id = 1095435;</v>
      </c>
    </row>
    <row r="462" spans="1:16" x14ac:dyDescent="0.25">
      <c r="A462" s="1" t="str">
        <f t="shared" si="28"/>
        <v>LeysenSassuolo</v>
      </c>
      <c r="B462" s="1" t="str">
        <f t="shared" si="29"/>
        <v>Leysen F.Sassuolo</v>
      </c>
      <c r="C462" s="1">
        <v>1116659</v>
      </c>
      <c r="D462" s="1" t="s">
        <v>623</v>
      </c>
      <c r="E462" s="1" t="s">
        <v>589</v>
      </c>
      <c r="F462" s="1" t="s">
        <v>46</v>
      </c>
      <c r="G462" s="1" t="s">
        <v>92</v>
      </c>
      <c r="H462" s="1">
        <v>6</v>
      </c>
      <c r="I462" s="1">
        <v>10</v>
      </c>
      <c r="J462" s="1" t="e">
        <f>VLOOKUP(A462,'Leghe Fantacalcio'!A:I,1,FALSE)</f>
        <v>#N/A</v>
      </c>
      <c r="K462" s="1" t="str">
        <f>VLOOKUP(B462,'Leghe Fantacalcio'!A:I,1,FALSE)</f>
        <v>Leysen F.Sassuolo</v>
      </c>
      <c r="L462" s="1" t="str">
        <f>IF(ISNA(VLOOKUP(A462,'Leghe Fantacalcio'!A:I,2,FALSE)),"",VLOOKUP(A462,'Leghe Fantacalcio'!A:I,2,FALSE))</f>
        <v/>
      </c>
      <c r="M462" s="1">
        <f>IF(ISNA(VLOOKUP(B462,'Leghe Fantacalcio'!A:I,2,FALSE)),"",VLOOKUP(B462,'Leghe Fantacalcio'!A:I,2,FALSE))</f>
        <v>7564</v>
      </c>
      <c r="N462" s="1">
        <f t="shared" si="30"/>
        <v>7564</v>
      </c>
      <c r="O462" s="1">
        <f>IFERROR(VLOOKUP(N462,'Leghe Fantacalcio'!B:I,8,FALSE),0)</f>
        <v>12</v>
      </c>
      <c r="P462" s="1" t="str">
        <f t="shared" si="31"/>
        <v>update giocatori set fvm = 12 where id = 1116659;</v>
      </c>
    </row>
    <row r="463" spans="1:16" x14ac:dyDescent="0.25">
      <c r="A463" s="1" t="str">
        <f t="shared" si="28"/>
        <v>LipaniSassuolo</v>
      </c>
      <c r="B463" s="1" t="str">
        <f t="shared" si="29"/>
        <v>Lipani L.Sassuolo</v>
      </c>
      <c r="C463" s="1">
        <v>1116026</v>
      </c>
      <c r="D463" s="1" t="s">
        <v>443</v>
      </c>
      <c r="E463" s="1" t="s">
        <v>590</v>
      </c>
      <c r="F463" s="1" t="s">
        <v>46</v>
      </c>
      <c r="G463" s="1" t="s">
        <v>283</v>
      </c>
      <c r="H463" s="1">
        <v>6</v>
      </c>
      <c r="I463" s="1">
        <v>15</v>
      </c>
      <c r="J463" s="1" t="str">
        <f>VLOOKUP(A463,'Leghe Fantacalcio'!A:I,1,FALSE)</f>
        <v>LipaniSassuolo</v>
      </c>
      <c r="K463" s="1" t="e">
        <f>VLOOKUP(B463,'Leghe Fantacalcio'!A:I,1,FALSE)</f>
        <v>#N/A</v>
      </c>
      <c r="L463" s="1">
        <f>IF(ISNA(VLOOKUP(A463,'Leghe Fantacalcio'!A:I,2,FALSE)),"",VLOOKUP(A463,'Leghe Fantacalcio'!A:I,2,FALSE))</f>
        <v>6246</v>
      </c>
      <c r="M463" s="1" t="str">
        <f>IF(ISNA(VLOOKUP(B463,'Leghe Fantacalcio'!A:I,2,FALSE)),"",VLOOKUP(B463,'Leghe Fantacalcio'!A:I,2,FALSE))</f>
        <v/>
      </c>
      <c r="N463" s="1">
        <f t="shared" si="30"/>
        <v>6246</v>
      </c>
      <c r="O463" s="1">
        <f>IFERROR(VLOOKUP(N463,'Leghe Fantacalcio'!B:I,8,FALSE),0)</f>
        <v>5</v>
      </c>
      <c r="P463" s="1" t="str">
        <f t="shared" si="31"/>
        <v>update giocatori set fvm = 5 where id = 1116026;</v>
      </c>
    </row>
    <row r="464" spans="1:16" x14ac:dyDescent="0.25">
      <c r="A464" s="1" t="str">
        <f t="shared" si="28"/>
        <v>MaticSassuolo</v>
      </c>
      <c r="B464" s="1" t="str">
        <f t="shared" si="29"/>
        <v>Matic N.Sassuolo</v>
      </c>
      <c r="C464" s="1">
        <v>1019997</v>
      </c>
      <c r="D464" s="1" t="s">
        <v>341</v>
      </c>
      <c r="E464" s="1" t="s">
        <v>578</v>
      </c>
      <c r="F464" s="1" t="s">
        <v>46</v>
      </c>
      <c r="G464" s="1" t="s">
        <v>283</v>
      </c>
      <c r="H464" s="1">
        <v>6</v>
      </c>
      <c r="I464" s="1">
        <v>21</v>
      </c>
      <c r="J464" s="1" t="str">
        <f>VLOOKUP(A464,'Leghe Fantacalcio'!A:I,1,FALSE)</f>
        <v>MaticSassuolo</v>
      </c>
      <c r="K464" s="1" t="e">
        <f>VLOOKUP(B464,'Leghe Fantacalcio'!A:I,1,FALSE)</f>
        <v>#N/A</v>
      </c>
      <c r="L464" s="1">
        <f>IF(ISNA(VLOOKUP(A464,'Leghe Fantacalcio'!A:I,2,FALSE)),"",VLOOKUP(A464,'Leghe Fantacalcio'!A:I,2,FALSE))</f>
        <v>2528</v>
      </c>
      <c r="M464" s="1" t="str">
        <f>IF(ISNA(VLOOKUP(B464,'Leghe Fantacalcio'!A:I,2,FALSE)),"",VLOOKUP(B464,'Leghe Fantacalcio'!A:I,2,FALSE))</f>
        <v/>
      </c>
      <c r="N464" s="1">
        <f t="shared" si="30"/>
        <v>2528</v>
      </c>
      <c r="O464" s="1">
        <f>IFERROR(VLOOKUP(N464,'Leghe Fantacalcio'!B:I,8,FALSE),0)</f>
        <v>15</v>
      </c>
      <c r="P464" s="1" t="str">
        <f t="shared" si="31"/>
        <v>update giocatori set fvm = 15 where id = 1019997;</v>
      </c>
    </row>
    <row r="465" spans="1:16" x14ac:dyDescent="0.25">
      <c r="A465" s="1" t="str">
        <f t="shared" si="28"/>
        <v>MuricSassuolo</v>
      </c>
      <c r="B465" s="1" t="str">
        <f t="shared" si="29"/>
        <v>Muric A.Sassuolo</v>
      </c>
      <c r="C465" s="1">
        <v>1094916</v>
      </c>
      <c r="D465" s="1" t="s">
        <v>45</v>
      </c>
      <c r="E465" s="1" t="s">
        <v>584</v>
      </c>
      <c r="F465" s="1" t="s">
        <v>46</v>
      </c>
      <c r="G465" s="1" t="s">
        <v>8</v>
      </c>
      <c r="H465" s="1">
        <v>6</v>
      </c>
      <c r="I465" s="1">
        <v>7</v>
      </c>
      <c r="J465" s="1" t="str">
        <f>VLOOKUP(A465,'Leghe Fantacalcio'!A:I,1,FALSE)</f>
        <v>MuricSassuolo</v>
      </c>
      <c r="K465" s="1" t="e">
        <f>VLOOKUP(B465,'Leghe Fantacalcio'!A:I,1,FALSE)</f>
        <v>#N/A</v>
      </c>
      <c r="L465" s="1">
        <f>IF(ISNA(VLOOKUP(A465,'Leghe Fantacalcio'!A:I,2,FALSE)),"",VLOOKUP(A465,'Leghe Fantacalcio'!A:I,2,FALSE))</f>
        <v>4236</v>
      </c>
      <c r="M465" s="1" t="str">
        <f>IF(ISNA(VLOOKUP(B465,'Leghe Fantacalcio'!A:I,2,FALSE)),"",VLOOKUP(B465,'Leghe Fantacalcio'!A:I,2,FALSE))</f>
        <v/>
      </c>
      <c r="N465" s="1">
        <f t="shared" si="30"/>
        <v>4236</v>
      </c>
      <c r="O465" s="1">
        <f>IFERROR(VLOOKUP(N465,'Leghe Fantacalcio'!B:I,8,FALSE),0)</f>
        <v>10</v>
      </c>
      <c r="P465" s="1" t="str">
        <f t="shared" si="31"/>
        <v>update giocatori set fvm = 10 where id = 1094916;</v>
      </c>
    </row>
    <row r="466" spans="1:16" x14ac:dyDescent="0.25">
      <c r="A466" s="1" t="str">
        <f t="shared" si="28"/>
        <v>NyarkoSassuolo</v>
      </c>
      <c r="B466" s="1" t="str">
        <f t="shared" si="29"/>
        <v>Nyarko L.Sassuolo</v>
      </c>
      <c r="C466" s="1">
        <v>1120204</v>
      </c>
      <c r="D466" s="1" t="s">
        <v>598</v>
      </c>
      <c r="E466" s="1" t="s">
        <v>590</v>
      </c>
      <c r="F466" s="1" t="s">
        <v>46</v>
      </c>
      <c r="G466" s="1" t="s">
        <v>8</v>
      </c>
      <c r="H466" s="1">
        <v>6</v>
      </c>
      <c r="I466" s="1">
        <v>1</v>
      </c>
      <c r="J466" s="1" t="e">
        <f>VLOOKUP(A466,'Leghe Fantacalcio'!A:I,1,FALSE)</f>
        <v>#N/A</v>
      </c>
      <c r="K466" s="1" t="e">
        <f>VLOOKUP(B466,'Leghe Fantacalcio'!A:I,1,FALSE)</f>
        <v>#N/A</v>
      </c>
      <c r="L466" s="1" t="str">
        <f>IF(ISNA(VLOOKUP(A466,'Leghe Fantacalcio'!A:I,2,FALSE)),"",VLOOKUP(A466,'Leghe Fantacalcio'!A:I,2,FALSE))</f>
        <v/>
      </c>
      <c r="M466" s="1" t="str">
        <f>IF(ISNA(VLOOKUP(B466,'Leghe Fantacalcio'!A:I,2,FALSE)),"",VLOOKUP(B466,'Leghe Fantacalcio'!A:I,2,FALSE))</f>
        <v/>
      </c>
      <c r="N466" s="1" t="str">
        <f t="shared" si="30"/>
        <v/>
      </c>
      <c r="O466" s="1">
        <f>IFERROR(VLOOKUP(N466,'Leghe Fantacalcio'!B:I,8,FALSE),0)</f>
        <v>0</v>
      </c>
      <c r="P466" s="1" t="str">
        <f t="shared" si="31"/>
        <v>update giocatori set fvm = 0 where id = 1120204;</v>
      </c>
    </row>
    <row r="467" spans="1:16" x14ac:dyDescent="0.25">
      <c r="A467" s="1" t="str">
        <f t="shared" si="28"/>
        <v>OdenthalSassuolo</v>
      </c>
      <c r="B467" s="1" t="str">
        <f t="shared" si="29"/>
        <v>Odenthal C.Sassuolo</v>
      </c>
      <c r="C467" s="1">
        <v>1115158</v>
      </c>
      <c r="D467" s="1" t="s">
        <v>235</v>
      </c>
      <c r="E467" s="1" t="s">
        <v>592</v>
      </c>
      <c r="F467" s="1" t="s">
        <v>46</v>
      </c>
      <c r="G467" s="1" t="s">
        <v>92</v>
      </c>
      <c r="H467" s="1">
        <v>6</v>
      </c>
      <c r="I467" s="1">
        <v>3</v>
      </c>
      <c r="J467" s="1" t="str">
        <f>VLOOKUP(A467,'Leghe Fantacalcio'!A:I,1,FALSE)</f>
        <v>OdenthalSassuolo</v>
      </c>
      <c r="K467" s="1" t="e">
        <f>VLOOKUP(B467,'Leghe Fantacalcio'!A:I,1,FALSE)</f>
        <v>#N/A</v>
      </c>
      <c r="L467" s="1">
        <f>IF(ISNA(VLOOKUP(A467,'Leghe Fantacalcio'!A:I,2,FALSE)),"",VLOOKUP(A467,'Leghe Fantacalcio'!A:I,2,FALSE))</f>
        <v>7154</v>
      </c>
      <c r="M467" s="1" t="str">
        <f>IF(ISNA(VLOOKUP(B467,'Leghe Fantacalcio'!A:I,2,FALSE)),"",VLOOKUP(B467,'Leghe Fantacalcio'!A:I,2,FALSE))</f>
        <v/>
      </c>
      <c r="N467" s="1">
        <f t="shared" si="30"/>
        <v>7154</v>
      </c>
      <c r="O467" s="1">
        <f>IFERROR(VLOOKUP(N467,'Leghe Fantacalcio'!B:I,8,FALSE),0)</f>
        <v>6</v>
      </c>
      <c r="P467" s="1" t="str">
        <f t="shared" si="31"/>
        <v>update giocatori set fvm = 6 where id = 1115158;</v>
      </c>
    </row>
    <row r="468" spans="1:16" x14ac:dyDescent="0.25">
      <c r="A468" s="1" t="str">
        <f t="shared" si="28"/>
        <v>PazSassuolo</v>
      </c>
      <c r="B468" s="1" t="str">
        <f t="shared" si="29"/>
        <v>Paz Y.Sassuolo</v>
      </c>
      <c r="C468" s="1">
        <v>1112565</v>
      </c>
      <c r="D468" s="1" t="s">
        <v>631</v>
      </c>
      <c r="E468" s="1" t="s">
        <v>606</v>
      </c>
      <c r="F468" s="1" t="s">
        <v>46</v>
      </c>
      <c r="G468" s="1" t="s">
        <v>92</v>
      </c>
      <c r="H468" s="1">
        <v>6</v>
      </c>
      <c r="I468" s="1">
        <v>1</v>
      </c>
      <c r="J468" s="1" t="e">
        <f>VLOOKUP(A468,'Leghe Fantacalcio'!A:I,1,FALSE)</f>
        <v>#N/A</v>
      </c>
      <c r="K468" s="1" t="e">
        <f>VLOOKUP(B468,'Leghe Fantacalcio'!A:I,1,FALSE)</f>
        <v>#N/A</v>
      </c>
      <c r="L468" s="1" t="str">
        <f>IF(ISNA(VLOOKUP(A468,'Leghe Fantacalcio'!A:I,2,FALSE)),"",VLOOKUP(A468,'Leghe Fantacalcio'!A:I,2,FALSE))</f>
        <v/>
      </c>
      <c r="M468" s="1" t="str">
        <f>IF(ISNA(VLOOKUP(B468,'Leghe Fantacalcio'!A:I,2,FALSE)),"",VLOOKUP(B468,'Leghe Fantacalcio'!A:I,2,FALSE))</f>
        <v/>
      </c>
      <c r="N468" s="1" t="str">
        <f t="shared" si="30"/>
        <v/>
      </c>
      <c r="O468" s="1">
        <f>IFERROR(VLOOKUP(N468,'Leghe Fantacalcio'!B:I,8,FALSE),0)</f>
        <v>0</v>
      </c>
      <c r="P468" s="1" t="str">
        <f t="shared" si="31"/>
        <v>update giocatori set fvm = 0 where id = 1112565;</v>
      </c>
    </row>
    <row r="469" spans="1:16" x14ac:dyDescent="0.25">
      <c r="A469" s="1" t="str">
        <f t="shared" si="28"/>
        <v>PieragnoloSassuolo</v>
      </c>
      <c r="B469" s="1" t="str">
        <f t="shared" si="29"/>
        <v>Pieragnolo E.Sassuolo</v>
      </c>
      <c r="C469" s="1">
        <v>1112566</v>
      </c>
      <c r="D469" s="1" t="s">
        <v>274</v>
      </c>
      <c r="E469" s="1" t="s">
        <v>573</v>
      </c>
      <c r="F469" s="1" t="s">
        <v>46</v>
      </c>
      <c r="G469" s="1" t="s">
        <v>92</v>
      </c>
      <c r="H469" s="1">
        <v>6</v>
      </c>
      <c r="I469" s="1">
        <v>1</v>
      </c>
      <c r="J469" s="1" t="str">
        <f>VLOOKUP(A469,'Leghe Fantacalcio'!A:I,1,FALSE)</f>
        <v>PieragnoloSassuolo</v>
      </c>
      <c r="K469" s="1" t="e">
        <f>VLOOKUP(B469,'Leghe Fantacalcio'!A:I,1,FALSE)</f>
        <v>#N/A</v>
      </c>
      <c r="L469" s="1">
        <f>IF(ISNA(VLOOKUP(A469,'Leghe Fantacalcio'!A:I,2,FALSE)),"",VLOOKUP(A469,'Leghe Fantacalcio'!A:I,2,FALSE))</f>
        <v>7156</v>
      </c>
      <c r="M469" s="1" t="str">
        <f>IF(ISNA(VLOOKUP(B469,'Leghe Fantacalcio'!A:I,2,FALSE)),"",VLOOKUP(B469,'Leghe Fantacalcio'!A:I,2,FALSE))</f>
        <v/>
      </c>
      <c r="N469" s="1">
        <f t="shared" si="30"/>
        <v>7156</v>
      </c>
      <c r="O469" s="1">
        <f>IFERROR(VLOOKUP(N469,'Leghe Fantacalcio'!B:I,8,FALSE),0)</f>
        <v>1</v>
      </c>
      <c r="P469" s="1" t="str">
        <f t="shared" si="31"/>
        <v>update giocatori set fvm = 1 where id = 1112566;</v>
      </c>
    </row>
    <row r="470" spans="1:16" x14ac:dyDescent="0.25">
      <c r="A470" s="1" t="str">
        <f t="shared" si="28"/>
        <v>PieriniSassuolo</v>
      </c>
      <c r="B470" s="1" t="str">
        <f t="shared" si="29"/>
        <v>Pierini N.Sassuolo</v>
      </c>
      <c r="C470" s="1">
        <v>1057939</v>
      </c>
      <c r="D470" s="1" t="s">
        <v>686</v>
      </c>
      <c r="E470" s="1" t="s">
        <v>578</v>
      </c>
      <c r="F470" s="1" t="s">
        <v>46</v>
      </c>
      <c r="G470" s="1" t="s">
        <v>478</v>
      </c>
      <c r="H470" s="1">
        <v>6</v>
      </c>
      <c r="I470" s="1">
        <v>1</v>
      </c>
      <c r="J470" s="1" t="e">
        <f>VLOOKUP(A470,'Leghe Fantacalcio'!A:I,1,FALSE)</f>
        <v>#N/A</v>
      </c>
      <c r="K470" s="1" t="e">
        <f>VLOOKUP(B470,'Leghe Fantacalcio'!A:I,1,FALSE)</f>
        <v>#N/A</v>
      </c>
      <c r="L470" s="1" t="str">
        <f>IF(ISNA(VLOOKUP(A470,'Leghe Fantacalcio'!A:I,2,FALSE)),"",VLOOKUP(A470,'Leghe Fantacalcio'!A:I,2,FALSE))</f>
        <v/>
      </c>
      <c r="M470" s="1" t="str">
        <f>IF(ISNA(VLOOKUP(B470,'Leghe Fantacalcio'!A:I,2,FALSE)),"",VLOOKUP(B470,'Leghe Fantacalcio'!A:I,2,FALSE))</f>
        <v/>
      </c>
      <c r="N470" s="1" t="str">
        <f t="shared" si="30"/>
        <v/>
      </c>
      <c r="O470" s="1">
        <f>IFERROR(VLOOKUP(N470,'Leghe Fantacalcio'!B:I,8,FALSE),0)</f>
        <v>0</v>
      </c>
      <c r="P470" s="1" t="str">
        <f t="shared" si="31"/>
        <v>update giocatori set fvm = 0 where id = 1057939;</v>
      </c>
    </row>
    <row r="471" spans="1:16" ht="14.5" x14ac:dyDescent="0.35">
      <c r="A471" s="1" t="str">
        <f t="shared" si="28"/>
        <v>ObradorSassuolo</v>
      </c>
      <c r="B471" s="1" t="str">
        <f t="shared" si="29"/>
        <v>Obrador Sassuolo</v>
      </c>
      <c r="C471" s="1">
        <v>1094722</v>
      </c>
      <c r="D471" t="s">
        <v>197</v>
      </c>
      <c r="E471" s="1" t="s">
        <v>579</v>
      </c>
      <c r="F471" s="1" t="s">
        <v>46</v>
      </c>
      <c r="G471" s="1" t="s">
        <v>92</v>
      </c>
      <c r="H471" s="1">
        <v>6</v>
      </c>
      <c r="I471" s="1">
        <v>5</v>
      </c>
      <c r="J471" s="1" t="str">
        <f>VLOOKUP(A471,'Leghe Fantacalcio'!A:I,1,FALSE)</f>
        <v>ObradorSassuolo</v>
      </c>
      <c r="K471" s="1" t="e">
        <f>VLOOKUP(B471,'Leghe Fantacalcio'!A:I,1,FALSE)</f>
        <v>#N/A</v>
      </c>
      <c r="L471" s="1">
        <f>IF(ISNA(VLOOKUP(A471,'Leghe Fantacalcio'!A:I,2,FALSE)),"",VLOOKUP(A471,'Leghe Fantacalcio'!A:I,2,FALSE))</f>
        <v>7329</v>
      </c>
      <c r="M471" s="1" t="str">
        <f>IF(ISNA(VLOOKUP(B471,'Leghe Fantacalcio'!A:I,2,FALSE)),"",VLOOKUP(B471,'Leghe Fantacalcio'!A:I,2,FALSE))</f>
        <v/>
      </c>
      <c r="N471" s="1">
        <f t="shared" si="30"/>
        <v>7329</v>
      </c>
      <c r="O471" s="1">
        <f>IFERROR(VLOOKUP(N471,'Leghe Fantacalcio'!B:I,8,FALSE),0)</f>
        <v>9</v>
      </c>
      <c r="P471" s="1" t="str">
        <f t="shared" si="31"/>
        <v>update giocatori set fvm = 9 where id = 1094722;</v>
      </c>
    </row>
    <row r="472" spans="1:16" x14ac:dyDescent="0.25">
      <c r="A472" s="1" t="str">
        <f t="shared" si="28"/>
        <v>SatalinoSassuolo</v>
      </c>
      <c r="B472" s="1" t="str">
        <f t="shared" si="29"/>
        <v>Satalino G.Sassuolo</v>
      </c>
      <c r="C472" s="1">
        <v>1110134</v>
      </c>
      <c r="D472" s="1" t="s">
        <v>82</v>
      </c>
      <c r="E472" s="1" t="s">
        <v>575</v>
      </c>
      <c r="F472" s="1" t="s">
        <v>46</v>
      </c>
      <c r="G472" s="1" t="s">
        <v>8</v>
      </c>
      <c r="H472" s="1">
        <v>6</v>
      </c>
      <c r="I472" s="1">
        <v>1</v>
      </c>
      <c r="J472" s="1" t="str">
        <f>VLOOKUP(A472,'Leghe Fantacalcio'!A:I,1,FALSE)</f>
        <v>SatalinoSassuolo</v>
      </c>
      <c r="K472" s="1" t="e">
        <f>VLOOKUP(B472,'Leghe Fantacalcio'!A:I,1,FALSE)</f>
        <v>#N/A</v>
      </c>
      <c r="L472" s="1">
        <f>IF(ISNA(VLOOKUP(A472,'Leghe Fantacalcio'!A:I,2,FALSE)),"",VLOOKUP(A472,'Leghe Fantacalcio'!A:I,2,FALSE))</f>
        <v>2127</v>
      </c>
      <c r="M472" s="1" t="str">
        <f>IF(ISNA(VLOOKUP(B472,'Leghe Fantacalcio'!A:I,2,FALSE)),"",VLOOKUP(B472,'Leghe Fantacalcio'!A:I,2,FALSE))</f>
        <v/>
      </c>
      <c r="N472" s="1">
        <f t="shared" si="30"/>
        <v>2127</v>
      </c>
      <c r="O472" s="1">
        <f>IFERROR(VLOOKUP(N472,'Leghe Fantacalcio'!B:I,8,FALSE),0)</f>
        <v>1</v>
      </c>
      <c r="P472" s="1" t="str">
        <f t="shared" si="31"/>
        <v>update giocatori set fvm = 1 where id = 1110134;</v>
      </c>
    </row>
    <row r="473" spans="1:16" x14ac:dyDescent="0.25">
      <c r="A473" s="1" t="str">
        <f t="shared" si="28"/>
        <v>SkjellerupSassuolo</v>
      </c>
      <c r="B473" s="1" t="str">
        <f t="shared" si="29"/>
        <v>Skjellerup L.Sassuolo</v>
      </c>
      <c r="C473" s="1">
        <v>1119933</v>
      </c>
      <c r="D473" s="1" t="s">
        <v>689</v>
      </c>
      <c r="E473" s="1" t="s">
        <v>590</v>
      </c>
      <c r="F473" s="1" t="s">
        <v>46</v>
      </c>
      <c r="G473" s="1" t="s">
        <v>478</v>
      </c>
      <c r="H473" s="1">
        <v>6</v>
      </c>
      <c r="I473" s="1">
        <v>3</v>
      </c>
      <c r="J473" s="1" t="e">
        <f>VLOOKUP(A473,'Leghe Fantacalcio'!A:I,1,FALSE)</f>
        <v>#N/A</v>
      </c>
      <c r="K473" s="1" t="e">
        <f>VLOOKUP(B473,'Leghe Fantacalcio'!A:I,1,FALSE)</f>
        <v>#N/A</v>
      </c>
      <c r="L473" s="1" t="str">
        <f>IF(ISNA(VLOOKUP(A473,'Leghe Fantacalcio'!A:I,2,FALSE)),"",VLOOKUP(A473,'Leghe Fantacalcio'!A:I,2,FALSE))</f>
        <v/>
      </c>
      <c r="M473" s="1" t="str">
        <f>IF(ISNA(VLOOKUP(B473,'Leghe Fantacalcio'!A:I,2,FALSE)),"",VLOOKUP(B473,'Leghe Fantacalcio'!A:I,2,FALSE))</f>
        <v/>
      </c>
      <c r="N473" s="1" t="str">
        <f t="shared" si="30"/>
        <v/>
      </c>
      <c r="O473" s="1">
        <f>IFERROR(VLOOKUP(N473,'Leghe Fantacalcio'!B:I,8,FALSE),0)</f>
        <v>0</v>
      </c>
      <c r="P473" s="1" t="str">
        <f t="shared" si="31"/>
        <v>update giocatori set fvm = 0 where id = 1119933;</v>
      </c>
    </row>
    <row r="474" spans="1:16" x14ac:dyDescent="0.25">
      <c r="A474" s="1" t="str">
        <f t="shared" si="28"/>
        <v>SulemanaSassuolo</v>
      </c>
      <c r="B474" s="1" t="str">
        <f t="shared" si="29"/>
        <v>Sulemana I.Sassuolo</v>
      </c>
      <c r="C474" s="1">
        <v>1115169</v>
      </c>
      <c r="D474" s="1" t="s">
        <v>663</v>
      </c>
      <c r="E474" s="1" t="s">
        <v>600</v>
      </c>
      <c r="F474" s="1" t="s">
        <v>46</v>
      </c>
      <c r="G474" s="1" t="s">
        <v>283</v>
      </c>
      <c r="H474" s="1">
        <v>6</v>
      </c>
      <c r="I474" s="1">
        <v>13</v>
      </c>
      <c r="J474" s="1" t="e">
        <f>VLOOKUP(A474,'Leghe Fantacalcio'!A:I,1,FALSE)</f>
        <v>#N/A</v>
      </c>
      <c r="K474" s="1" t="str">
        <f>VLOOKUP(B474,'Leghe Fantacalcio'!A:I,1,FALSE)</f>
        <v>Sulemana I.Sassuolo</v>
      </c>
      <c r="L474" s="1" t="str">
        <f>IF(ISNA(VLOOKUP(A474,'Leghe Fantacalcio'!A:I,2,FALSE)),"",VLOOKUP(A474,'Leghe Fantacalcio'!A:I,2,FALSE))</f>
        <v/>
      </c>
      <c r="M474" s="1">
        <f>IF(ISNA(VLOOKUP(B474,'Leghe Fantacalcio'!A:I,2,FALSE)),"",VLOOKUP(B474,'Leghe Fantacalcio'!A:I,2,FALSE))</f>
        <v>6024</v>
      </c>
      <c r="N474" s="1">
        <f t="shared" si="30"/>
        <v>6024</v>
      </c>
      <c r="O474" s="1">
        <f>IFERROR(VLOOKUP(N474,'Leghe Fantacalcio'!B:I,8,FALSE),0)</f>
        <v>7</v>
      </c>
      <c r="P474" s="1" t="str">
        <f t="shared" si="31"/>
        <v>update giocatori set fvm = 7 where id = 1115169;</v>
      </c>
    </row>
    <row r="475" spans="1:16" x14ac:dyDescent="0.25">
      <c r="A475" s="1" t="str">
        <f t="shared" si="28"/>
        <v>ThorstvedtSassuolo</v>
      </c>
      <c r="B475" s="1" t="str">
        <f t="shared" si="29"/>
        <v>Thorstvedt K.Sassuolo</v>
      </c>
      <c r="C475" s="1">
        <v>1111005</v>
      </c>
      <c r="D475" s="1" t="s">
        <v>342</v>
      </c>
      <c r="E475" s="1" t="s">
        <v>586</v>
      </c>
      <c r="F475" s="1" t="s">
        <v>46</v>
      </c>
      <c r="G475" s="1" t="s">
        <v>283</v>
      </c>
      <c r="H475" s="1">
        <v>6</v>
      </c>
      <c r="I475" s="1">
        <v>30</v>
      </c>
      <c r="J475" s="1" t="str">
        <f>VLOOKUP(A475,'Leghe Fantacalcio'!A:I,1,FALSE)</f>
        <v>ThorstvedtSassuolo</v>
      </c>
      <c r="K475" s="1" t="e">
        <f>VLOOKUP(B475,'Leghe Fantacalcio'!A:I,1,FALSE)</f>
        <v>#N/A</v>
      </c>
      <c r="L475" s="1">
        <f>IF(ISNA(VLOOKUP(A475,'Leghe Fantacalcio'!A:I,2,FALSE)),"",VLOOKUP(A475,'Leghe Fantacalcio'!A:I,2,FALSE))</f>
        <v>5844</v>
      </c>
      <c r="M475" s="1" t="str">
        <f>IF(ISNA(VLOOKUP(B475,'Leghe Fantacalcio'!A:I,2,FALSE)),"",VLOOKUP(B475,'Leghe Fantacalcio'!A:I,2,FALSE))</f>
        <v/>
      </c>
      <c r="N475" s="1">
        <f t="shared" si="30"/>
        <v>5844</v>
      </c>
      <c r="O475" s="1">
        <f>IFERROR(VLOOKUP(N475,'Leghe Fantacalcio'!B:I,8,FALSE),0)</f>
        <v>31</v>
      </c>
      <c r="P475" s="1" t="str">
        <f t="shared" si="31"/>
        <v>update giocatori set fvm = 31 where id = 1111005;</v>
      </c>
    </row>
    <row r="476" spans="1:16" x14ac:dyDescent="0.25">
      <c r="A476" s="1" t="str">
        <f t="shared" si="28"/>
        <v>TuratiSassuolo</v>
      </c>
      <c r="B476" s="1" t="str">
        <f t="shared" si="29"/>
        <v>Turati S.Sassuolo</v>
      </c>
      <c r="C476" s="1">
        <v>1069876</v>
      </c>
      <c r="D476" s="1" t="s">
        <v>76</v>
      </c>
      <c r="E476" s="1" t="s">
        <v>580</v>
      </c>
      <c r="F476" s="1" t="s">
        <v>46</v>
      </c>
      <c r="G476" s="1" t="s">
        <v>8</v>
      </c>
      <c r="H476" s="1">
        <v>6</v>
      </c>
      <c r="I476" s="1">
        <v>1</v>
      </c>
      <c r="J476" s="1" t="str">
        <f>VLOOKUP(A476,'Leghe Fantacalcio'!A:I,1,FALSE)</f>
        <v>TuratiSassuolo</v>
      </c>
      <c r="K476" s="1" t="e">
        <f>VLOOKUP(B476,'Leghe Fantacalcio'!A:I,1,FALSE)</f>
        <v>#N/A</v>
      </c>
      <c r="L476" s="1">
        <f>IF(ISNA(VLOOKUP(A476,'Leghe Fantacalcio'!A:I,2,FALSE)),"",VLOOKUP(A476,'Leghe Fantacalcio'!A:I,2,FALSE))</f>
        <v>4867</v>
      </c>
      <c r="M476" s="1" t="str">
        <f>IF(ISNA(VLOOKUP(B476,'Leghe Fantacalcio'!A:I,2,FALSE)),"",VLOOKUP(B476,'Leghe Fantacalcio'!A:I,2,FALSE))</f>
        <v/>
      </c>
      <c r="N476" s="1">
        <f t="shared" si="30"/>
        <v>4867</v>
      </c>
      <c r="O476" s="1">
        <f>IFERROR(VLOOKUP(N476,'Leghe Fantacalcio'!B:I,8,FALSE),0)</f>
        <v>1</v>
      </c>
      <c r="P476" s="1" t="str">
        <f t="shared" si="31"/>
        <v>update giocatori set fvm = 1 where id = 1069876;</v>
      </c>
    </row>
    <row r="477" spans="1:16" x14ac:dyDescent="0.25">
      <c r="A477" s="1" t="str">
        <f t="shared" si="28"/>
        <v>Van der BremptSassuolo</v>
      </c>
      <c r="B477" s="1" t="str">
        <f t="shared" si="29"/>
        <v>Van der Brempt I.Sassuolo</v>
      </c>
      <c r="C477" s="1">
        <v>1095518</v>
      </c>
      <c r="D477" s="1" t="s">
        <v>636</v>
      </c>
      <c r="E477" s="1" t="s">
        <v>600</v>
      </c>
      <c r="F477" s="1" t="s">
        <v>46</v>
      </c>
      <c r="G477" s="1" t="s">
        <v>92</v>
      </c>
      <c r="H477" s="1">
        <v>6</v>
      </c>
      <c r="I477" s="1">
        <v>5</v>
      </c>
      <c r="J477" s="1" t="str">
        <f>VLOOKUP(A477,'Leghe Fantacalcio'!A:I,1,FALSE)</f>
        <v>Van Der BremptSassuolo</v>
      </c>
      <c r="K477" s="1" t="e">
        <f>VLOOKUP(B477,'Leghe Fantacalcio'!A:I,1,FALSE)</f>
        <v>#N/A</v>
      </c>
      <c r="L477" s="1">
        <f>IF(ISNA(VLOOKUP(A477,'Leghe Fantacalcio'!A:I,2,FALSE)),"",VLOOKUP(A477,'Leghe Fantacalcio'!A:I,2,FALSE))</f>
        <v>6896</v>
      </c>
      <c r="M477" s="1" t="str">
        <f>IF(ISNA(VLOOKUP(B477,'Leghe Fantacalcio'!A:I,2,FALSE)),"",VLOOKUP(B477,'Leghe Fantacalcio'!A:I,2,FALSE))</f>
        <v/>
      </c>
      <c r="N477" s="1">
        <f t="shared" si="30"/>
        <v>6896</v>
      </c>
      <c r="O477" s="1">
        <f>IFERROR(VLOOKUP(N477,'Leghe Fantacalcio'!B:I,8,FALSE),0)</f>
        <v>6</v>
      </c>
      <c r="P477" s="1" t="str">
        <f t="shared" si="31"/>
        <v>update giocatori set fvm = 6 where id = 1095518;</v>
      </c>
    </row>
    <row r="478" spans="1:16" x14ac:dyDescent="0.25">
      <c r="A478" s="1" t="str">
        <f t="shared" si="28"/>
        <v>VolpatoSassuolo</v>
      </c>
      <c r="B478" s="1" t="str">
        <f t="shared" si="29"/>
        <v>Volpato C.Sassuolo</v>
      </c>
      <c r="C478" s="1">
        <v>1111630</v>
      </c>
      <c r="D478" s="1" t="s">
        <v>343</v>
      </c>
      <c r="E478" s="1" t="s">
        <v>592</v>
      </c>
      <c r="F478" s="1" t="s">
        <v>46</v>
      </c>
      <c r="G478" s="1" t="s">
        <v>283</v>
      </c>
      <c r="H478" s="1">
        <v>6</v>
      </c>
      <c r="I478" s="1">
        <v>20</v>
      </c>
      <c r="J478" s="1" t="str">
        <f>VLOOKUP(A478,'Leghe Fantacalcio'!A:I,1,FALSE)</f>
        <v>VolpatoSassuolo</v>
      </c>
      <c r="K478" s="1" t="e">
        <f>VLOOKUP(B478,'Leghe Fantacalcio'!A:I,1,FALSE)</f>
        <v>#N/A</v>
      </c>
      <c r="L478" s="1">
        <f>IF(ISNA(VLOOKUP(A478,'Leghe Fantacalcio'!A:I,2,FALSE)),"",VLOOKUP(A478,'Leghe Fantacalcio'!A:I,2,FALSE))</f>
        <v>5735</v>
      </c>
      <c r="M478" s="1" t="str">
        <f>IF(ISNA(VLOOKUP(B478,'Leghe Fantacalcio'!A:I,2,FALSE)),"",VLOOKUP(B478,'Leghe Fantacalcio'!A:I,2,FALSE))</f>
        <v/>
      </c>
      <c r="N478" s="1">
        <f t="shared" si="30"/>
        <v>5735</v>
      </c>
      <c r="O478" s="1">
        <f>IFERROR(VLOOKUP(N478,'Leghe Fantacalcio'!B:I,8,FALSE),0)</f>
        <v>20</v>
      </c>
      <c r="P478" s="1" t="str">
        <f t="shared" si="31"/>
        <v>update giocatori set fvm = 20 where id = 1111630;</v>
      </c>
    </row>
    <row r="479" spans="1:16" x14ac:dyDescent="0.25">
      <c r="A479" s="1" t="str">
        <f t="shared" si="28"/>
        <v>WalukiewiczSassuolo</v>
      </c>
      <c r="B479" s="1" t="str">
        <f t="shared" si="29"/>
        <v>Walukiewicz S.Sassuolo</v>
      </c>
      <c r="C479" s="1">
        <v>1070336</v>
      </c>
      <c r="D479" s="1" t="s">
        <v>230</v>
      </c>
      <c r="E479" s="1" t="s">
        <v>580</v>
      </c>
      <c r="F479" s="1" t="s">
        <v>46</v>
      </c>
      <c r="G479" s="1" t="s">
        <v>92</v>
      </c>
      <c r="H479" s="1">
        <v>6</v>
      </c>
      <c r="I479" s="1">
        <v>5</v>
      </c>
      <c r="J479" s="1" t="str">
        <f>VLOOKUP(A479,'Leghe Fantacalcio'!A:I,1,FALSE)</f>
        <v>WalukiewiczSassuolo</v>
      </c>
      <c r="K479" s="1" t="e">
        <f>VLOOKUP(B479,'Leghe Fantacalcio'!A:I,1,FALSE)</f>
        <v>#N/A</v>
      </c>
      <c r="L479" s="1">
        <f>IF(ISNA(VLOOKUP(A479,'Leghe Fantacalcio'!A:I,2,FALSE)),"",VLOOKUP(A479,'Leghe Fantacalcio'!A:I,2,FALSE))</f>
        <v>4374</v>
      </c>
      <c r="M479" s="1" t="str">
        <f>IF(ISNA(VLOOKUP(B479,'Leghe Fantacalcio'!A:I,2,FALSE)),"",VLOOKUP(B479,'Leghe Fantacalcio'!A:I,2,FALSE))</f>
        <v/>
      </c>
      <c r="N479" s="1">
        <f t="shared" si="30"/>
        <v>4374</v>
      </c>
      <c r="O479" s="1">
        <f>IFERROR(VLOOKUP(N479,'Leghe Fantacalcio'!B:I,8,FALSE),0)</f>
        <v>10</v>
      </c>
      <c r="P479" s="1" t="str">
        <f t="shared" si="31"/>
        <v>update giocatori set fvm = 10 where id = 1070336;</v>
      </c>
    </row>
    <row r="480" spans="1:16" x14ac:dyDescent="0.25">
      <c r="A480" s="1" t="str">
        <f t="shared" si="28"/>
        <v>AboukhlalTorino</v>
      </c>
      <c r="B480" s="1" t="str">
        <f t="shared" si="29"/>
        <v>Aboukhlal Z.Torino</v>
      </c>
      <c r="C480" s="1">
        <v>1095480</v>
      </c>
      <c r="D480" s="1" t="s">
        <v>454</v>
      </c>
      <c r="E480" s="1" t="s">
        <v>610</v>
      </c>
      <c r="F480" s="1" t="s">
        <v>34</v>
      </c>
      <c r="G480" s="1" t="s">
        <v>478</v>
      </c>
      <c r="H480" s="1">
        <v>6</v>
      </c>
      <c r="I480" s="1">
        <v>15</v>
      </c>
      <c r="J480" s="1" t="str">
        <f>VLOOKUP(A480,'Leghe Fantacalcio'!A:I,1,FALSE)</f>
        <v>AboukhlalTorino</v>
      </c>
      <c r="K480" s="1" t="e">
        <f>VLOOKUP(B480,'Leghe Fantacalcio'!A:I,1,FALSE)</f>
        <v>#N/A</v>
      </c>
      <c r="L480" s="1">
        <f>IF(ISNA(VLOOKUP(A480,'Leghe Fantacalcio'!A:I,2,FALSE)),"",VLOOKUP(A480,'Leghe Fantacalcio'!A:I,2,FALSE))</f>
        <v>7183</v>
      </c>
      <c r="M480" s="1" t="str">
        <f>IF(ISNA(VLOOKUP(B480,'Leghe Fantacalcio'!A:I,2,FALSE)),"",VLOOKUP(B480,'Leghe Fantacalcio'!A:I,2,FALSE))</f>
        <v/>
      </c>
      <c r="N480" s="1">
        <f t="shared" si="30"/>
        <v>7183</v>
      </c>
      <c r="O480" s="1">
        <f>IFERROR(VLOOKUP(N480,'Leghe Fantacalcio'!B:I,8,FALSE),0)</f>
        <v>5</v>
      </c>
      <c r="P480" s="1" t="str">
        <f t="shared" si="31"/>
        <v>update giocatori set fvm = 5 where id = 1095480;</v>
      </c>
    </row>
    <row r="481" spans="1:16" x14ac:dyDescent="0.25">
      <c r="A481" s="1" t="str">
        <f t="shared" si="28"/>
        <v>AdamsTorino</v>
      </c>
      <c r="B481" s="1" t="str">
        <f t="shared" si="29"/>
        <v>Adams C.Torino</v>
      </c>
      <c r="C481" s="1">
        <v>1071896</v>
      </c>
      <c r="D481" s="1" t="s">
        <v>667</v>
      </c>
      <c r="E481" s="1" t="s">
        <v>592</v>
      </c>
      <c r="F481" s="1" t="s">
        <v>34</v>
      </c>
      <c r="G481" s="1" t="s">
        <v>478</v>
      </c>
      <c r="H481" s="1">
        <v>6</v>
      </c>
      <c r="I481" s="1">
        <v>41</v>
      </c>
      <c r="J481" s="1" t="e">
        <f>VLOOKUP(A481,'Leghe Fantacalcio'!A:I,1,FALSE)</f>
        <v>#N/A</v>
      </c>
      <c r="K481" s="1" t="str">
        <f>VLOOKUP(B481,'Leghe Fantacalcio'!A:I,1,FALSE)</f>
        <v>Adams C.Torino</v>
      </c>
      <c r="L481" s="1" t="str">
        <f>IF(ISNA(VLOOKUP(A481,'Leghe Fantacalcio'!A:I,2,FALSE)),"",VLOOKUP(A481,'Leghe Fantacalcio'!A:I,2,FALSE))</f>
        <v/>
      </c>
      <c r="M481" s="1">
        <f>IF(ISNA(VLOOKUP(B481,'Leghe Fantacalcio'!A:I,2,FALSE)),"",VLOOKUP(B481,'Leghe Fantacalcio'!A:I,2,FALSE))</f>
        <v>6646</v>
      </c>
      <c r="N481" s="1">
        <f t="shared" si="30"/>
        <v>6646</v>
      </c>
      <c r="O481" s="1">
        <f>IFERROR(VLOOKUP(N481,'Leghe Fantacalcio'!B:I,8,FALSE),0)</f>
        <v>25</v>
      </c>
      <c r="P481" s="1" t="str">
        <f t="shared" si="31"/>
        <v>update giocatori set fvm = 25 where id = 1071896;</v>
      </c>
    </row>
    <row r="482" spans="1:16" x14ac:dyDescent="0.25">
      <c r="A482" s="1" t="str">
        <f t="shared" si="28"/>
        <v>BelghaliTorino</v>
      </c>
      <c r="B482" s="1" t="str">
        <f t="shared" si="29"/>
        <v>Belghali R.Torino</v>
      </c>
      <c r="C482" s="1">
        <v>1120135</v>
      </c>
      <c r="D482" s="1" t="s">
        <v>159</v>
      </c>
      <c r="E482" s="1" t="s">
        <v>581</v>
      </c>
      <c r="F482" s="1" t="s">
        <v>34</v>
      </c>
      <c r="G482" s="1" t="s">
        <v>92</v>
      </c>
      <c r="H482" s="1">
        <v>6</v>
      </c>
      <c r="I482" s="1">
        <v>12</v>
      </c>
      <c r="J482" s="1" t="str">
        <f>VLOOKUP(A482,'Leghe Fantacalcio'!A:I,1,FALSE)</f>
        <v>BelghaliTorino</v>
      </c>
      <c r="K482" s="1" t="e">
        <f>VLOOKUP(B482,'Leghe Fantacalcio'!A:I,1,FALSE)</f>
        <v>#N/A</v>
      </c>
      <c r="L482" s="1">
        <f>IF(ISNA(VLOOKUP(A482,'Leghe Fantacalcio'!A:I,2,FALSE)),"",VLOOKUP(A482,'Leghe Fantacalcio'!A:I,2,FALSE))</f>
        <v>7220</v>
      </c>
      <c r="M482" s="1" t="str">
        <f>IF(ISNA(VLOOKUP(B482,'Leghe Fantacalcio'!A:I,2,FALSE)),"",VLOOKUP(B482,'Leghe Fantacalcio'!A:I,2,FALSE))</f>
        <v/>
      </c>
      <c r="N482" s="1">
        <f t="shared" si="30"/>
        <v>7220</v>
      </c>
      <c r="O482" s="1">
        <f>IFERROR(VLOOKUP(N482,'Leghe Fantacalcio'!B:I,8,FALSE),0)</f>
        <v>13</v>
      </c>
      <c r="P482" s="1" t="str">
        <f t="shared" si="31"/>
        <v>update giocatori set fvm = 13 where id = 1120135;</v>
      </c>
    </row>
    <row r="483" spans="1:16" x14ac:dyDescent="0.25">
      <c r="A483" s="1" t="str">
        <f t="shared" si="28"/>
        <v>BiraghiTorino</v>
      </c>
      <c r="B483" s="1" t="str">
        <f t="shared" si="29"/>
        <v>Biraghi C.Torino</v>
      </c>
      <c r="C483" s="1">
        <v>1021310</v>
      </c>
      <c r="D483" s="1" t="s">
        <v>275</v>
      </c>
      <c r="E483" s="1" t="s">
        <v>592</v>
      </c>
      <c r="F483" s="1" t="s">
        <v>34</v>
      </c>
      <c r="G483" s="1" t="s">
        <v>92</v>
      </c>
      <c r="H483" s="1">
        <v>6</v>
      </c>
      <c r="I483" s="1">
        <v>2</v>
      </c>
      <c r="J483" s="1" t="str">
        <f>VLOOKUP(A483,'Leghe Fantacalcio'!A:I,1,FALSE)</f>
        <v>BiraghiTorino</v>
      </c>
      <c r="K483" s="1" t="e">
        <f>VLOOKUP(B483,'Leghe Fantacalcio'!A:I,1,FALSE)</f>
        <v>#N/A</v>
      </c>
      <c r="L483" s="1">
        <f>IF(ISNA(VLOOKUP(A483,'Leghe Fantacalcio'!A:I,2,FALSE)),"",VLOOKUP(A483,'Leghe Fantacalcio'!A:I,2,FALSE))</f>
        <v>252</v>
      </c>
      <c r="M483" s="1" t="str">
        <f>IF(ISNA(VLOOKUP(B483,'Leghe Fantacalcio'!A:I,2,FALSE)),"",VLOOKUP(B483,'Leghe Fantacalcio'!A:I,2,FALSE))</f>
        <v/>
      </c>
      <c r="N483" s="1">
        <f t="shared" si="30"/>
        <v>252</v>
      </c>
      <c r="O483" s="1">
        <f>IFERROR(VLOOKUP(N483,'Leghe Fantacalcio'!B:I,8,FALSE),0)</f>
        <v>5</v>
      </c>
      <c r="P483" s="1" t="str">
        <f t="shared" si="31"/>
        <v>update giocatori set fvm = 5 where id = 1021310;</v>
      </c>
    </row>
    <row r="484" spans="1:16" x14ac:dyDescent="0.25">
      <c r="A484" s="1" t="str">
        <f t="shared" si="28"/>
        <v>CacciamaniTorino</v>
      </c>
      <c r="B484" s="1" t="str">
        <f t="shared" si="29"/>
        <v>Cacciamani A.Torino</v>
      </c>
      <c r="C484" s="1">
        <v>1119874</v>
      </c>
      <c r="D484" s="1" t="s">
        <v>359</v>
      </c>
      <c r="E484" s="1" t="s">
        <v>584</v>
      </c>
      <c r="F484" s="1" t="s">
        <v>34</v>
      </c>
      <c r="G484" s="1" t="s">
        <v>283</v>
      </c>
      <c r="H484" s="1">
        <v>6</v>
      </c>
      <c r="I484" s="1">
        <v>2</v>
      </c>
      <c r="J484" s="1" t="str">
        <f>VLOOKUP(A484,'Leghe Fantacalcio'!A:I,1,FALSE)</f>
        <v>CacciamaniTorino</v>
      </c>
      <c r="K484" s="1" t="e">
        <f>VLOOKUP(B484,'Leghe Fantacalcio'!A:I,1,FALSE)</f>
        <v>#N/A</v>
      </c>
      <c r="L484" s="1">
        <f>IF(ISNA(VLOOKUP(A484,'Leghe Fantacalcio'!A:I,2,FALSE)),"",VLOOKUP(A484,'Leghe Fantacalcio'!A:I,2,FALSE))</f>
        <v>7060</v>
      </c>
      <c r="M484" s="1" t="str">
        <f>IF(ISNA(VLOOKUP(B484,'Leghe Fantacalcio'!A:I,2,FALSE)),"",VLOOKUP(B484,'Leghe Fantacalcio'!A:I,2,FALSE))</f>
        <v/>
      </c>
      <c r="N484" s="1">
        <f t="shared" si="30"/>
        <v>7060</v>
      </c>
      <c r="O484" s="1">
        <f>IFERROR(VLOOKUP(N484,'Leghe Fantacalcio'!B:I,8,FALSE),0)</f>
        <v>25</v>
      </c>
      <c r="P484" s="1" t="str">
        <f t="shared" si="31"/>
        <v>update giocatori set fvm = 25 where id = 1119874;</v>
      </c>
    </row>
    <row r="485" spans="1:16" x14ac:dyDescent="0.25">
      <c r="A485" s="1" t="str">
        <f t="shared" si="28"/>
        <v>CasadeiTorino</v>
      </c>
      <c r="B485" s="1" t="str">
        <f t="shared" si="29"/>
        <v>Casadei C.Torino</v>
      </c>
      <c r="C485" s="1">
        <v>1113110</v>
      </c>
      <c r="D485" s="1" t="s">
        <v>360</v>
      </c>
      <c r="E485" s="1" t="s">
        <v>592</v>
      </c>
      <c r="F485" s="1" t="s">
        <v>34</v>
      </c>
      <c r="G485" s="1" t="s">
        <v>283</v>
      </c>
      <c r="H485" s="1">
        <v>6</v>
      </c>
      <c r="I485" s="1">
        <v>14</v>
      </c>
      <c r="J485" s="1" t="str">
        <f>VLOOKUP(A485,'Leghe Fantacalcio'!A:I,1,FALSE)</f>
        <v>CasadeiTorino</v>
      </c>
      <c r="K485" s="1" t="e">
        <f>VLOOKUP(B485,'Leghe Fantacalcio'!A:I,1,FALSE)</f>
        <v>#N/A</v>
      </c>
      <c r="L485" s="1">
        <f>IF(ISNA(VLOOKUP(A485,'Leghe Fantacalcio'!A:I,2,FALSE)),"",VLOOKUP(A485,'Leghe Fantacalcio'!A:I,2,FALSE))</f>
        <v>5888</v>
      </c>
      <c r="M485" s="1" t="str">
        <f>IF(ISNA(VLOOKUP(B485,'Leghe Fantacalcio'!A:I,2,FALSE)),"",VLOOKUP(B485,'Leghe Fantacalcio'!A:I,2,FALSE))</f>
        <v/>
      </c>
      <c r="N485" s="1">
        <f t="shared" si="30"/>
        <v>5888</v>
      </c>
      <c r="O485" s="1">
        <f>IFERROR(VLOOKUP(N485,'Leghe Fantacalcio'!B:I,8,FALSE),0)</f>
        <v>17</v>
      </c>
      <c r="P485" s="1" t="str">
        <f t="shared" si="31"/>
        <v>update giocatori set fvm = 17 where id = 1113110;</v>
      </c>
    </row>
    <row r="486" spans="1:16" x14ac:dyDescent="0.25">
      <c r="A486" s="1" t="str">
        <f t="shared" si="28"/>
        <v>ComertTorino</v>
      </c>
      <c r="B486" s="1" t="str">
        <f t="shared" si="29"/>
        <v>Comert E.Torino</v>
      </c>
      <c r="C486" s="1">
        <v>1054144</v>
      </c>
      <c r="D486" s="1" t="s">
        <v>169</v>
      </c>
      <c r="E486" s="1" t="s">
        <v>573</v>
      </c>
      <c r="F486" s="1" t="s">
        <v>34</v>
      </c>
      <c r="G486" s="1" t="s">
        <v>92</v>
      </c>
      <c r="H486" s="1">
        <v>6</v>
      </c>
      <c r="I486" s="1">
        <v>7</v>
      </c>
      <c r="J486" s="1" t="str">
        <f>VLOOKUP(A486,'Leghe Fantacalcio'!A:I,1,FALSE)</f>
        <v>ComertTorino</v>
      </c>
      <c r="K486" s="1" t="e">
        <f>VLOOKUP(B486,'Leghe Fantacalcio'!A:I,1,FALSE)</f>
        <v>#N/A</v>
      </c>
      <c r="L486" s="1">
        <f>IF(ISNA(VLOOKUP(A486,'Leghe Fantacalcio'!A:I,2,FALSE)),"",VLOOKUP(A486,'Leghe Fantacalcio'!A:I,2,FALSE))</f>
        <v>7526</v>
      </c>
      <c r="M486" s="1" t="str">
        <f>IF(ISNA(VLOOKUP(B486,'Leghe Fantacalcio'!A:I,2,FALSE)),"",VLOOKUP(B486,'Leghe Fantacalcio'!A:I,2,FALSE))</f>
        <v/>
      </c>
      <c r="N486" s="1">
        <f t="shared" si="30"/>
        <v>7526</v>
      </c>
      <c r="O486" s="1">
        <f>IFERROR(VLOOKUP(N486,'Leghe Fantacalcio'!B:I,8,FALSE),0)</f>
        <v>13</v>
      </c>
      <c r="P486" s="1" t="str">
        <f t="shared" si="31"/>
        <v>update giocatori set fvm = 13 where id = 1054144;</v>
      </c>
    </row>
    <row r="487" spans="1:16" x14ac:dyDescent="0.25">
      <c r="A487" s="1" t="str">
        <f t="shared" si="28"/>
        <v>ComuzzoTorino</v>
      </c>
      <c r="B487" s="1" t="str">
        <f t="shared" si="29"/>
        <v>Comuzzo P.Torino</v>
      </c>
      <c r="C487" s="1">
        <v>1118201</v>
      </c>
      <c r="D487" s="1" t="s">
        <v>155</v>
      </c>
      <c r="E487" s="1" t="s">
        <v>585</v>
      </c>
      <c r="F487" s="1" t="s">
        <v>34</v>
      </c>
      <c r="G487" s="1" t="s">
        <v>92</v>
      </c>
      <c r="H487" s="1">
        <v>6</v>
      </c>
      <c r="I487" s="1">
        <v>12</v>
      </c>
      <c r="J487" s="1" t="str">
        <f>VLOOKUP(A487,'Leghe Fantacalcio'!A:I,1,FALSE)</f>
        <v>ComuzzoTorino</v>
      </c>
      <c r="K487" s="1" t="e">
        <f>VLOOKUP(B487,'Leghe Fantacalcio'!A:I,1,FALSE)</f>
        <v>#N/A</v>
      </c>
      <c r="L487" s="1">
        <f>IF(ISNA(VLOOKUP(A487,'Leghe Fantacalcio'!A:I,2,FALSE)),"",VLOOKUP(A487,'Leghe Fantacalcio'!A:I,2,FALSE))</f>
        <v>6495</v>
      </c>
      <c r="M487" s="1" t="str">
        <f>IF(ISNA(VLOOKUP(B487,'Leghe Fantacalcio'!A:I,2,FALSE)),"",VLOOKUP(B487,'Leghe Fantacalcio'!A:I,2,FALSE))</f>
        <v/>
      </c>
      <c r="N487" s="1">
        <f t="shared" si="30"/>
        <v>6495</v>
      </c>
      <c r="O487" s="1">
        <f>IFERROR(VLOOKUP(N487,'Leghe Fantacalcio'!B:I,8,FALSE),0)</f>
        <v>10</v>
      </c>
      <c r="P487" s="1" t="str">
        <f t="shared" si="31"/>
        <v>update giocatori set fvm = 10 where id = 1118201;</v>
      </c>
    </row>
    <row r="488" spans="1:16" ht="14.5" x14ac:dyDescent="0.35">
      <c r="A488" s="1" t="str">
        <f t="shared" si="28"/>
        <v>BragancaTorino</v>
      </c>
      <c r="B488" s="1" t="str">
        <f t="shared" si="29"/>
        <v>Braganca Torino</v>
      </c>
      <c r="C488" s="1">
        <v>1102232</v>
      </c>
      <c r="D488" t="s">
        <v>376</v>
      </c>
      <c r="E488" s="1" t="s">
        <v>579</v>
      </c>
      <c r="F488" s="1" t="s">
        <v>34</v>
      </c>
      <c r="G488" s="1" t="s">
        <v>283</v>
      </c>
      <c r="H488" s="1">
        <v>6</v>
      </c>
      <c r="I488" s="1">
        <v>23</v>
      </c>
      <c r="J488" s="1" t="str">
        <f>VLOOKUP(A488,'Leghe Fantacalcio'!A:I,1,FALSE)</f>
        <v>BragancaTorino</v>
      </c>
      <c r="K488" s="1" t="e">
        <f>VLOOKUP(B488,'Leghe Fantacalcio'!A:I,1,FALSE)</f>
        <v>#N/A</v>
      </c>
      <c r="L488" s="1">
        <f>IF(ISNA(VLOOKUP(A488,'Leghe Fantacalcio'!A:I,2,FALSE)),"",VLOOKUP(A488,'Leghe Fantacalcio'!A:I,2,FALSE))</f>
        <v>7624</v>
      </c>
      <c r="M488" s="1" t="str">
        <f>IF(ISNA(VLOOKUP(B488,'Leghe Fantacalcio'!A:I,2,FALSE)),"",VLOOKUP(B488,'Leghe Fantacalcio'!A:I,2,FALSE))</f>
        <v/>
      </c>
      <c r="N488" s="1">
        <f t="shared" si="30"/>
        <v>7624</v>
      </c>
      <c r="O488" s="1">
        <f>IFERROR(VLOOKUP(N488,'Leghe Fantacalcio'!B:I,8,FALSE),0)</f>
        <v>18</v>
      </c>
      <c r="P488" s="1" t="str">
        <f t="shared" si="31"/>
        <v>update giocatori set fvm = 18 where id = 1102232;</v>
      </c>
    </row>
    <row r="489" spans="1:16" x14ac:dyDescent="0.25">
      <c r="A489" s="1" t="str">
        <f t="shared" si="28"/>
        <v>Fitz-JimTorino</v>
      </c>
      <c r="B489" s="1" t="str">
        <f t="shared" si="29"/>
        <v>Fitz-Jim K.Torino</v>
      </c>
      <c r="C489" s="1">
        <v>1109703</v>
      </c>
      <c r="D489" s="1" t="s">
        <v>386</v>
      </c>
      <c r="E489" s="1" t="s">
        <v>586</v>
      </c>
      <c r="F489" s="1" t="s">
        <v>34</v>
      </c>
      <c r="G489" s="1" t="s">
        <v>283</v>
      </c>
      <c r="H489" s="1">
        <v>6</v>
      </c>
      <c r="I489" s="1">
        <v>10</v>
      </c>
      <c r="J489" s="1" t="str">
        <f>VLOOKUP(A489,'Leghe Fantacalcio'!A:I,1,FALSE)</f>
        <v>Fitz-JimTorino</v>
      </c>
      <c r="K489" s="1" t="e">
        <f>VLOOKUP(B489,'Leghe Fantacalcio'!A:I,1,FALSE)</f>
        <v>#N/A</v>
      </c>
      <c r="L489" s="1">
        <f>IF(ISNA(VLOOKUP(A489,'Leghe Fantacalcio'!A:I,2,FALSE)),"",VLOOKUP(A489,'Leghe Fantacalcio'!A:I,2,FALSE))</f>
        <v>7535</v>
      </c>
      <c r="M489" s="1" t="str">
        <f>IF(ISNA(VLOOKUP(B489,'Leghe Fantacalcio'!A:I,2,FALSE)),"",VLOOKUP(B489,'Leghe Fantacalcio'!A:I,2,FALSE))</f>
        <v/>
      </c>
      <c r="N489" s="1">
        <f t="shared" si="30"/>
        <v>7535</v>
      </c>
      <c r="O489" s="1">
        <f>IFERROR(VLOOKUP(N489,'Leghe Fantacalcio'!B:I,8,FALSE),0)</f>
        <v>18</v>
      </c>
      <c r="P489" s="1" t="str">
        <f t="shared" si="31"/>
        <v>update giocatori set fvm = 18 where id = 1109703;</v>
      </c>
    </row>
    <row r="490" spans="1:16" x14ac:dyDescent="0.25">
      <c r="A490" s="1" t="str">
        <f t="shared" si="28"/>
        <v>FortiniTorino</v>
      </c>
      <c r="B490" s="1" t="str">
        <f t="shared" si="29"/>
        <v>Fortini N.Torino</v>
      </c>
      <c r="C490" s="1">
        <v>1119515</v>
      </c>
      <c r="D490" s="1" t="s">
        <v>172</v>
      </c>
      <c r="E490" s="1" t="s">
        <v>578</v>
      </c>
      <c r="F490" s="1" t="s">
        <v>34</v>
      </c>
      <c r="G490" s="1" t="s">
        <v>92</v>
      </c>
      <c r="H490" s="1">
        <v>6</v>
      </c>
      <c r="I490" s="1">
        <v>7</v>
      </c>
      <c r="J490" s="1" t="str">
        <f>VLOOKUP(A490,'Leghe Fantacalcio'!A:I,1,FALSE)</f>
        <v>FortiniTorino</v>
      </c>
      <c r="K490" s="1" t="e">
        <f>VLOOKUP(B490,'Leghe Fantacalcio'!A:I,1,FALSE)</f>
        <v>#N/A</v>
      </c>
      <c r="L490" s="1">
        <f>IF(ISNA(VLOOKUP(A490,'Leghe Fantacalcio'!A:I,2,FALSE)),"",VLOOKUP(A490,'Leghe Fantacalcio'!A:I,2,FALSE))</f>
        <v>7069</v>
      </c>
      <c r="M490" s="1" t="str">
        <f>IF(ISNA(VLOOKUP(B490,'Leghe Fantacalcio'!A:I,2,FALSE)),"",VLOOKUP(B490,'Leghe Fantacalcio'!A:I,2,FALSE))</f>
        <v/>
      </c>
      <c r="N490" s="1">
        <f t="shared" si="30"/>
        <v>7069</v>
      </c>
      <c r="O490" s="1">
        <f>IFERROR(VLOOKUP(N490,'Leghe Fantacalcio'!B:I,8,FALSE),0)</f>
        <v>12</v>
      </c>
      <c r="P490" s="1" t="str">
        <f t="shared" si="31"/>
        <v>update giocatori set fvm = 12 where id = 1119515;</v>
      </c>
    </row>
    <row r="491" spans="1:16" x14ac:dyDescent="0.25">
      <c r="A491" s="1" t="str">
        <f t="shared" si="28"/>
        <v>GineitisTorino</v>
      </c>
      <c r="B491" s="1" t="str">
        <f t="shared" si="29"/>
        <v>Gineitis G.Torino</v>
      </c>
      <c r="C491" s="1">
        <v>1116114</v>
      </c>
      <c r="D491" s="1" t="s">
        <v>404</v>
      </c>
      <c r="E491" s="1" t="s">
        <v>575</v>
      </c>
      <c r="F491" s="1" t="s">
        <v>34</v>
      </c>
      <c r="G491" s="1" t="s">
        <v>283</v>
      </c>
      <c r="H491" s="1">
        <v>6</v>
      </c>
      <c r="I491" s="1">
        <v>19</v>
      </c>
      <c r="J491" s="1" t="str">
        <f>VLOOKUP(A491,'Leghe Fantacalcio'!A:I,1,FALSE)</f>
        <v>GineitisTorino</v>
      </c>
      <c r="K491" s="1" t="e">
        <f>VLOOKUP(B491,'Leghe Fantacalcio'!A:I,1,FALSE)</f>
        <v>#N/A</v>
      </c>
      <c r="L491" s="1">
        <f>IF(ISNA(VLOOKUP(A491,'Leghe Fantacalcio'!A:I,2,FALSE)),"",VLOOKUP(A491,'Leghe Fantacalcio'!A:I,2,FALSE))</f>
        <v>6170</v>
      </c>
      <c r="M491" s="1" t="str">
        <f>IF(ISNA(VLOOKUP(B491,'Leghe Fantacalcio'!A:I,2,FALSE)),"",VLOOKUP(B491,'Leghe Fantacalcio'!A:I,2,FALSE))</f>
        <v/>
      </c>
      <c r="N491" s="1">
        <f t="shared" si="30"/>
        <v>6170</v>
      </c>
      <c r="O491" s="1">
        <f>IFERROR(VLOOKUP(N491,'Leghe Fantacalcio'!B:I,8,FALSE),0)</f>
        <v>12</v>
      </c>
      <c r="P491" s="1" t="str">
        <f t="shared" si="31"/>
        <v>update giocatori set fvm = 12 where id = 1116114;</v>
      </c>
    </row>
    <row r="492" spans="1:16" x14ac:dyDescent="0.25">
      <c r="A492" s="1" t="str">
        <f t="shared" si="28"/>
        <v>IlkhanTorino</v>
      </c>
      <c r="B492" s="1" t="str">
        <f t="shared" si="29"/>
        <v>Ilkhan E.Torino</v>
      </c>
      <c r="C492" s="1">
        <v>1112219</v>
      </c>
      <c r="D492" s="1" t="s">
        <v>429</v>
      </c>
      <c r="E492" s="1" t="s">
        <v>573</v>
      </c>
      <c r="F492" s="1" t="s">
        <v>34</v>
      </c>
      <c r="G492" s="1" t="s">
        <v>283</v>
      </c>
      <c r="H492" s="1">
        <v>6</v>
      </c>
      <c r="I492" s="1">
        <v>16</v>
      </c>
      <c r="J492" s="1" t="str">
        <f>VLOOKUP(A492,'Leghe Fantacalcio'!A:I,1,FALSE)</f>
        <v>IlkhanTorino</v>
      </c>
      <c r="K492" s="1" t="e">
        <f>VLOOKUP(B492,'Leghe Fantacalcio'!A:I,1,FALSE)</f>
        <v>#N/A</v>
      </c>
      <c r="L492" s="1">
        <f>IF(ISNA(VLOOKUP(A492,'Leghe Fantacalcio'!A:I,2,FALSE)),"",VLOOKUP(A492,'Leghe Fantacalcio'!A:I,2,FALSE))</f>
        <v>6005</v>
      </c>
      <c r="M492" s="1" t="str">
        <f>IF(ISNA(VLOOKUP(B492,'Leghe Fantacalcio'!A:I,2,FALSE)),"",VLOOKUP(B492,'Leghe Fantacalcio'!A:I,2,FALSE))</f>
        <v/>
      </c>
      <c r="N492" s="1">
        <f t="shared" si="30"/>
        <v>6005</v>
      </c>
      <c r="O492" s="1">
        <f>IFERROR(VLOOKUP(N492,'Leghe Fantacalcio'!B:I,8,FALSE),0)</f>
        <v>8</v>
      </c>
      <c r="P492" s="1" t="str">
        <f t="shared" si="31"/>
        <v>update giocatori set fvm = 8 where id = 1112219;</v>
      </c>
    </row>
    <row r="493" spans="1:16" x14ac:dyDescent="0.25">
      <c r="A493" s="1" t="str">
        <f t="shared" si="28"/>
        <v>IsmajliTorino</v>
      </c>
      <c r="B493" s="1" t="str">
        <f t="shared" si="29"/>
        <v>Ismajli A.Torino</v>
      </c>
      <c r="C493" s="1">
        <v>1058739</v>
      </c>
      <c r="D493" s="1" t="s">
        <v>156</v>
      </c>
      <c r="E493" s="1" t="s">
        <v>584</v>
      </c>
      <c r="F493" s="1" t="s">
        <v>34</v>
      </c>
      <c r="G493" s="1" t="s">
        <v>92</v>
      </c>
      <c r="H493" s="1">
        <v>6</v>
      </c>
      <c r="I493" s="1">
        <v>9</v>
      </c>
      <c r="J493" s="1" t="str">
        <f>VLOOKUP(A493,'Leghe Fantacalcio'!A:I,1,FALSE)</f>
        <v>IsmajliTorino</v>
      </c>
      <c r="K493" s="1" t="e">
        <f>VLOOKUP(B493,'Leghe Fantacalcio'!A:I,1,FALSE)</f>
        <v>#N/A</v>
      </c>
      <c r="L493" s="1">
        <f>IF(ISNA(VLOOKUP(A493,'Leghe Fantacalcio'!A:I,2,FALSE)),"",VLOOKUP(A493,'Leghe Fantacalcio'!A:I,2,FALSE))</f>
        <v>5010</v>
      </c>
      <c r="M493" s="1" t="str">
        <f>IF(ISNA(VLOOKUP(B493,'Leghe Fantacalcio'!A:I,2,FALSE)),"",VLOOKUP(B493,'Leghe Fantacalcio'!A:I,2,FALSE))</f>
        <v/>
      </c>
      <c r="N493" s="1">
        <f t="shared" si="30"/>
        <v>5010</v>
      </c>
      <c r="O493" s="1">
        <f>IFERROR(VLOOKUP(N493,'Leghe Fantacalcio'!B:I,8,FALSE),0)</f>
        <v>12</v>
      </c>
      <c r="P493" s="1" t="str">
        <f t="shared" si="31"/>
        <v>update giocatori set fvm = 12 where id = 1058739;</v>
      </c>
    </row>
    <row r="494" spans="1:16" x14ac:dyDescent="0.25">
      <c r="A494" s="1" t="str">
        <f t="shared" si="28"/>
        <v>IsraelTorino</v>
      </c>
      <c r="B494" s="1" t="str">
        <f t="shared" si="29"/>
        <v>Israel F.Torino</v>
      </c>
      <c r="C494" s="1">
        <v>1103052</v>
      </c>
      <c r="D494" s="1" t="s">
        <v>588</v>
      </c>
      <c r="E494" s="1" t="s">
        <v>589</v>
      </c>
      <c r="F494" s="1" t="s">
        <v>34</v>
      </c>
      <c r="G494" s="1" t="s">
        <v>8</v>
      </c>
      <c r="H494" s="1">
        <v>6</v>
      </c>
      <c r="I494" s="1">
        <v>1</v>
      </c>
      <c r="J494" s="1" t="e">
        <f>VLOOKUP(A494,'Leghe Fantacalcio'!A:I,1,FALSE)</f>
        <v>#N/A</v>
      </c>
      <c r="K494" s="1" t="e">
        <f>VLOOKUP(B494,'Leghe Fantacalcio'!A:I,1,FALSE)</f>
        <v>#N/A</v>
      </c>
      <c r="L494" s="1" t="str">
        <f>IF(ISNA(VLOOKUP(A494,'Leghe Fantacalcio'!A:I,2,FALSE)),"",VLOOKUP(A494,'Leghe Fantacalcio'!A:I,2,FALSE))</f>
        <v/>
      </c>
      <c r="M494" s="1" t="str">
        <f>IF(ISNA(VLOOKUP(B494,'Leghe Fantacalcio'!A:I,2,FALSE)),"",VLOOKUP(B494,'Leghe Fantacalcio'!A:I,2,FALSE))</f>
        <v/>
      </c>
      <c r="N494" s="1" t="str">
        <f t="shared" si="30"/>
        <v/>
      </c>
      <c r="O494" s="1">
        <f>IFERROR(VLOOKUP(N494,'Leghe Fantacalcio'!B:I,8,FALSE),0)</f>
        <v>0</v>
      </c>
      <c r="P494" s="1" t="str">
        <f t="shared" si="31"/>
        <v>update giocatori set fvm = 0 where id = 1103052;</v>
      </c>
    </row>
    <row r="495" spans="1:16" x14ac:dyDescent="0.25">
      <c r="A495" s="1" t="str">
        <f t="shared" si="28"/>
        <v>KulenovicTorino</v>
      </c>
      <c r="B495" s="1" t="str">
        <f t="shared" si="29"/>
        <v>Kulenovic S.Torino</v>
      </c>
      <c r="C495" s="1">
        <v>1067887</v>
      </c>
      <c r="D495" s="1" t="s">
        <v>537</v>
      </c>
      <c r="E495" s="1" t="s">
        <v>580</v>
      </c>
      <c r="F495" s="1" t="s">
        <v>34</v>
      </c>
      <c r="G495" s="1" t="s">
        <v>478</v>
      </c>
      <c r="H495" s="1">
        <v>6</v>
      </c>
      <c r="I495" s="1">
        <v>18</v>
      </c>
      <c r="J495" s="1" t="str">
        <f>VLOOKUP(A495,'Leghe Fantacalcio'!A:I,1,FALSE)</f>
        <v>KulenovicTorino</v>
      </c>
      <c r="K495" s="1" t="e">
        <f>VLOOKUP(B495,'Leghe Fantacalcio'!A:I,1,FALSE)</f>
        <v>#N/A</v>
      </c>
      <c r="L495" s="1">
        <f>IF(ISNA(VLOOKUP(A495,'Leghe Fantacalcio'!A:I,2,FALSE)),"",VLOOKUP(A495,'Leghe Fantacalcio'!A:I,2,FALSE))</f>
        <v>7349</v>
      </c>
      <c r="M495" s="1" t="str">
        <f>IF(ISNA(VLOOKUP(B495,'Leghe Fantacalcio'!A:I,2,FALSE)),"",VLOOKUP(B495,'Leghe Fantacalcio'!A:I,2,FALSE))</f>
        <v/>
      </c>
      <c r="N495" s="1">
        <f t="shared" si="30"/>
        <v>7349</v>
      </c>
      <c r="O495" s="1">
        <f>IFERROR(VLOOKUP(N495,'Leghe Fantacalcio'!B:I,8,FALSE),0)</f>
        <v>13</v>
      </c>
      <c r="P495" s="1" t="str">
        <f t="shared" si="31"/>
        <v>update giocatori set fvm = 13 where id = 1067887;</v>
      </c>
    </row>
    <row r="496" spans="1:16" ht="14.5" x14ac:dyDescent="0.35">
      <c r="A496" s="1" t="str">
        <f t="shared" si="28"/>
        <v>PerriTorino</v>
      </c>
      <c r="B496" s="1" t="str">
        <f t="shared" si="29"/>
        <v>Perri Torino</v>
      </c>
      <c r="C496" s="1">
        <v>1118370</v>
      </c>
      <c r="D496" t="s">
        <v>33</v>
      </c>
      <c r="E496" s="1" t="s">
        <v>579</v>
      </c>
      <c r="F496" s="1" t="s">
        <v>34</v>
      </c>
      <c r="G496" s="1" t="s">
        <v>8</v>
      </c>
      <c r="H496" s="1">
        <v>6</v>
      </c>
      <c r="I496" s="1">
        <v>18</v>
      </c>
      <c r="J496" s="1" t="str">
        <f>VLOOKUP(A496,'Leghe Fantacalcio'!A:I,1,FALSE)</f>
        <v>PerriTorino</v>
      </c>
      <c r="K496" s="1" t="e">
        <f>VLOOKUP(B496,'Leghe Fantacalcio'!A:I,1,FALSE)</f>
        <v>#N/A</v>
      </c>
      <c r="L496" s="1">
        <f>IF(ISNA(VLOOKUP(A496,'Leghe Fantacalcio'!A:I,2,FALSE)),"",VLOOKUP(A496,'Leghe Fantacalcio'!A:I,2,FALSE))</f>
        <v>6534</v>
      </c>
      <c r="M496" s="1" t="str">
        <f>IF(ISNA(VLOOKUP(B496,'Leghe Fantacalcio'!A:I,2,FALSE)),"",VLOOKUP(B496,'Leghe Fantacalcio'!A:I,2,FALSE))</f>
        <v/>
      </c>
      <c r="N496" s="1">
        <f t="shared" si="30"/>
        <v>6534</v>
      </c>
      <c r="O496" s="1">
        <f>IFERROR(VLOOKUP(N496,'Leghe Fantacalcio'!B:I,8,FALSE),0)</f>
        <v>16</v>
      </c>
      <c r="P496" s="1" t="str">
        <f t="shared" si="31"/>
        <v>update giocatori set fvm = 16 where id = 1118370;</v>
      </c>
    </row>
    <row r="497" spans="1:16" x14ac:dyDescent="0.25">
      <c r="A497" s="1" t="str">
        <f t="shared" si="28"/>
        <v>LuongoTorino</v>
      </c>
      <c r="B497" s="1" t="str">
        <f t="shared" si="29"/>
        <v>Luongo A.Torino</v>
      </c>
      <c r="C497" s="1">
        <v>1120546</v>
      </c>
      <c r="D497" s="1" t="s">
        <v>653</v>
      </c>
      <c r="E497" s="1" t="s">
        <v>584</v>
      </c>
      <c r="F497" s="1" t="s">
        <v>34</v>
      </c>
      <c r="G497" s="1" t="s">
        <v>283</v>
      </c>
      <c r="H497" s="1">
        <v>6</v>
      </c>
      <c r="I497" s="1">
        <v>1</v>
      </c>
      <c r="J497" s="1" t="e">
        <f>VLOOKUP(A497,'Leghe Fantacalcio'!A:I,1,FALSE)</f>
        <v>#N/A</v>
      </c>
      <c r="K497" s="1" t="e">
        <f>VLOOKUP(B497,'Leghe Fantacalcio'!A:I,1,FALSE)</f>
        <v>#N/A</v>
      </c>
      <c r="L497" s="1" t="str">
        <f>IF(ISNA(VLOOKUP(A497,'Leghe Fantacalcio'!A:I,2,FALSE)),"",VLOOKUP(A497,'Leghe Fantacalcio'!A:I,2,FALSE))</f>
        <v/>
      </c>
      <c r="M497" s="1" t="str">
        <f>IF(ISNA(VLOOKUP(B497,'Leghe Fantacalcio'!A:I,2,FALSE)),"",VLOOKUP(B497,'Leghe Fantacalcio'!A:I,2,FALSE))</f>
        <v/>
      </c>
      <c r="N497" s="1" t="str">
        <f t="shared" si="30"/>
        <v/>
      </c>
      <c r="O497" s="1">
        <f>IFERROR(VLOOKUP(N497,'Leghe Fantacalcio'!B:I,8,FALSE),0)</f>
        <v>0</v>
      </c>
      <c r="P497" s="1" t="str">
        <f t="shared" si="31"/>
        <v>update giocatori set fvm = 0 where id = 1120546;</v>
      </c>
    </row>
    <row r="498" spans="1:16" x14ac:dyDescent="0.25">
      <c r="A498" s="1" t="str">
        <f t="shared" si="28"/>
        <v>MandragoraTorino</v>
      </c>
      <c r="B498" s="1" t="str">
        <f t="shared" si="29"/>
        <v>Mandragora R.Torino</v>
      </c>
      <c r="C498" s="1">
        <v>1049183</v>
      </c>
      <c r="D498" s="1" t="s">
        <v>311</v>
      </c>
      <c r="E498" s="1" t="s">
        <v>581</v>
      </c>
      <c r="F498" s="1" t="s">
        <v>34</v>
      </c>
      <c r="G498" s="1" t="s">
        <v>283</v>
      </c>
      <c r="H498" s="1">
        <v>6</v>
      </c>
      <c r="I498" s="1">
        <v>25</v>
      </c>
      <c r="J498" s="1" t="str">
        <f>VLOOKUP(A498,'Leghe Fantacalcio'!A:I,1,FALSE)</f>
        <v>MandragoraTorino</v>
      </c>
      <c r="K498" s="1" t="e">
        <f>VLOOKUP(B498,'Leghe Fantacalcio'!A:I,1,FALSE)</f>
        <v>#N/A</v>
      </c>
      <c r="L498" s="1">
        <f>IF(ISNA(VLOOKUP(A498,'Leghe Fantacalcio'!A:I,2,FALSE)),"",VLOOKUP(A498,'Leghe Fantacalcio'!A:I,2,FALSE))</f>
        <v>1933</v>
      </c>
      <c r="M498" s="1" t="str">
        <f>IF(ISNA(VLOOKUP(B498,'Leghe Fantacalcio'!A:I,2,FALSE)),"",VLOOKUP(B498,'Leghe Fantacalcio'!A:I,2,FALSE))</f>
        <v/>
      </c>
      <c r="N498" s="1">
        <f t="shared" si="30"/>
        <v>1933</v>
      </c>
      <c r="O498" s="1">
        <f>IFERROR(VLOOKUP(N498,'Leghe Fantacalcio'!B:I,8,FALSE),0)</f>
        <v>40</v>
      </c>
      <c r="P498" s="1" t="str">
        <f t="shared" si="31"/>
        <v>update giocatori set fvm = 40 where id = 1049183;</v>
      </c>
    </row>
    <row r="499" spans="1:16" x14ac:dyDescent="0.25">
      <c r="A499" s="1" t="str">
        <f t="shared" si="28"/>
        <v>MascardiTorino</v>
      </c>
      <c r="B499" s="1" t="str">
        <f t="shared" si="29"/>
        <v>Mascardi D.Torino</v>
      </c>
      <c r="C499" s="1">
        <v>1118649</v>
      </c>
      <c r="D499" s="1" t="s">
        <v>77</v>
      </c>
      <c r="E499" s="1" t="s">
        <v>593</v>
      </c>
      <c r="F499" s="1" t="s">
        <v>34</v>
      </c>
      <c r="G499" s="1" t="s">
        <v>8</v>
      </c>
      <c r="H499" s="1">
        <v>6</v>
      </c>
      <c r="I499" s="1">
        <v>1</v>
      </c>
      <c r="J499" s="1" t="str">
        <f>VLOOKUP(A499,'Leghe Fantacalcio'!A:I,1,FALSE)</f>
        <v>MascardiTorino</v>
      </c>
      <c r="K499" s="1" t="e">
        <f>VLOOKUP(B499,'Leghe Fantacalcio'!A:I,1,FALSE)</f>
        <v>#N/A</v>
      </c>
      <c r="L499" s="1">
        <f>IF(ISNA(VLOOKUP(A499,'Leghe Fantacalcio'!A:I,2,FALSE)),"",VLOOKUP(A499,'Leghe Fantacalcio'!A:I,2,FALSE))</f>
        <v>7457</v>
      </c>
      <c r="M499" s="1" t="str">
        <f>IF(ISNA(VLOOKUP(B499,'Leghe Fantacalcio'!A:I,2,FALSE)),"",VLOOKUP(B499,'Leghe Fantacalcio'!A:I,2,FALSE))</f>
        <v/>
      </c>
      <c r="N499" s="1">
        <f t="shared" si="30"/>
        <v>7457</v>
      </c>
      <c r="O499" s="1">
        <f>IFERROR(VLOOKUP(N499,'Leghe Fantacalcio'!B:I,8,FALSE),0)</f>
        <v>1</v>
      </c>
      <c r="P499" s="1" t="str">
        <f t="shared" si="31"/>
        <v>update giocatori set fvm = 1 where id = 1118649;</v>
      </c>
    </row>
    <row r="500" spans="1:16" x14ac:dyDescent="0.25">
      <c r="A500" s="1" t="str">
        <f t="shared" si="28"/>
        <v>OristanioTorino</v>
      </c>
      <c r="B500" s="1" t="str">
        <f t="shared" si="29"/>
        <v>Oristanio G.Torino</v>
      </c>
      <c r="C500" s="1">
        <v>1117149</v>
      </c>
      <c r="D500" s="1" t="s">
        <v>387</v>
      </c>
      <c r="E500" s="1" t="s">
        <v>575</v>
      </c>
      <c r="F500" s="1" t="s">
        <v>34</v>
      </c>
      <c r="G500" s="1" t="s">
        <v>283</v>
      </c>
      <c r="H500" s="1">
        <v>6</v>
      </c>
      <c r="I500" s="1">
        <v>12</v>
      </c>
      <c r="J500" s="1" t="str">
        <f>VLOOKUP(A500,'Leghe Fantacalcio'!A:I,1,FALSE)</f>
        <v>OristanioTorino</v>
      </c>
      <c r="K500" s="1" t="e">
        <f>VLOOKUP(B500,'Leghe Fantacalcio'!A:I,1,FALSE)</f>
        <v>#N/A</v>
      </c>
      <c r="L500" s="1">
        <f>IF(ISNA(VLOOKUP(A500,'Leghe Fantacalcio'!A:I,2,FALSE)),"",VLOOKUP(A500,'Leghe Fantacalcio'!A:I,2,FALSE))</f>
        <v>6218</v>
      </c>
      <c r="M500" s="1" t="str">
        <f>IF(ISNA(VLOOKUP(B500,'Leghe Fantacalcio'!A:I,2,FALSE)),"",VLOOKUP(B500,'Leghe Fantacalcio'!A:I,2,FALSE))</f>
        <v/>
      </c>
      <c r="N500" s="1">
        <f t="shared" si="30"/>
        <v>6218</v>
      </c>
      <c r="O500" s="1">
        <f>IFERROR(VLOOKUP(N500,'Leghe Fantacalcio'!B:I,8,FALSE),0)</f>
        <v>12</v>
      </c>
      <c r="P500" s="1" t="str">
        <f t="shared" si="31"/>
        <v>update giocatori set fvm = 12 where id = 1117149;</v>
      </c>
    </row>
    <row r="501" spans="1:16" x14ac:dyDescent="0.25">
      <c r="A501" s="1" t="str">
        <f t="shared" si="28"/>
        <v>PattersonTorino</v>
      </c>
      <c r="B501" s="1" t="str">
        <f t="shared" si="29"/>
        <v>Patterson N.Torino</v>
      </c>
      <c r="C501" s="1">
        <v>1098928</v>
      </c>
      <c r="D501" s="1" t="s">
        <v>199</v>
      </c>
      <c r="E501" s="1" t="s">
        <v>578</v>
      </c>
      <c r="F501" s="1" t="s">
        <v>34</v>
      </c>
      <c r="G501" s="1" t="s">
        <v>92</v>
      </c>
      <c r="H501" s="1">
        <v>6</v>
      </c>
      <c r="I501" s="1">
        <v>14</v>
      </c>
      <c r="J501" s="1" t="str">
        <f>VLOOKUP(A501,'Leghe Fantacalcio'!A:I,1,FALSE)</f>
        <v>PattersonTorino</v>
      </c>
      <c r="K501" s="1" t="e">
        <f>VLOOKUP(B501,'Leghe Fantacalcio'!A:I,1,FALSE)</f>
        <v>#N/A</v>
      </c>
      <c r="L501" s="1">
        <f>IF(ISNA(VLOOKUP(A501,'Leghe Fantacalcio'!A:I,2,FALSE)),"",VLOOKUP(A501,'Leghe Fantacalcio'!A:I,2,FALSE))</f>
        <v>5751</v>
      </c>
      <c r="M501" s="1" t="str">
        <f>IF(ISNA(VLOOKUP(B501,'Leghe Fantacalcio'!A:I,2,FALSE)),"",VLOOKUP(B501,'Leghe Fantacalcio'!A:I,2,FALSE))</f>
        <v/>
      </c>
      <c r="N501" s="1">
        <f t="shared" si="30"/>
        <v>5751</v>
      </c>
      <c r="O501" s="1">
        <f>IFERROR(VLOOKUP(N501,'Leghe Fantacalcio'!B:I,8,FALSE),0)</f>
        <v>10</v>
      </c>
      <c r="P501" s="1" t="str">
        <f t="shared" si="31"/>
        <v>update giocatori set fvm = 10 where id = 1098928;</v>
      </c>
    </row>
    <row r="502" spans="1:16" x14ac:dyDescent="0.25">
      <c r="A502" s="1" t="str">
        <f t="shared" si="28"/>
        <v>PellegriTorino</v>
      </c>
      <c r="B502" s="1" t="str">
        <f t="shared" si="29"/>
        <v>Pellegri P.Torino</v>
      </c>
      <c r="C502" s="1">
        <v>1061625</v>
      </c>
      <c r="D502" s="1" t="s">
        <v>684</v>
      </c>
      <c r="E502" s="1" t="s">
        <v>585</v>
      </c>
      <c r="F502" s="1" t="s">
        <v>34</v>
      </c>
      <c r="G502" s="1" t="s">
        <v>478</v>
      </c>
      <c r="H502" s="1">
        <v>6</v>
      </c>
      <c r="I502" s="1">
        <v>5</v>
      </c>
      <c r="J502" s="1" t="e">
        <f>VLOOKUP(A502,'Leghe Fantacalcio'!A:I,1,FALSE)</f>
        <v>#N/A</v>
      </c>
      <c r="K502" s="1" t="e">
        <f>VLOOKUP(B502,'Leghe Fantacalcio'!A:I,1,FALSE)</f>
        <v>#N/A</v>
      </c>
      <c r="L502" s="1" t="str">
        <f>IF(ISNA(VLOOKUP(A502,'Leghe Fantacalcio'!A:I,2,FALSE)),"",VLOOKUP(A502,'Leghe Fantacalcio'!A:I,2,FALSE))</f>
        <v/>
      </c>
      <c r="M502" s="1" t="str">
        <f>IF(ISNA(VLOOKUP(B502,'Leghe Fantacalcio'!A:I,2,FALSE)),"",VLOOKUP(B502,'Leghe Fantacalcio'!A:I,2,FALSE))</f>
        <v/>
      </c>
      <c r="N502" s="1" t="str">
        <f t="shared" si="30"/>
        <v/>
      </c>
      <c r="O502" s="1">
        <f>IFERROR(VLOOKUP(N502,'Leghe Fantacalcio'!B:I,8,FALSE),0)</f>
        <v>0</v>
      </c>
      <c r="P502" s="1" t="str">
        <f t="shared" si="31"/>
        <v>update giocatori set fvm = 0 where id = 1061625;</v>
      </c>
    </row>
    <row r="503" spans="1:16" ht="14.5" x14ac:dyDescent="0.35">
      <c r="A503" s="1" t="str">
        <f t="shared" si="28"/>
        <v>CocoTorino</v>
      </c>
      <c r="B503" s="1" t="str">
        <f t="shared" si="29"/>
        <v>Coco Torino</v>
      </c>
      <c r="C503" s="1">
        <v>1117029</v>
      </c>
      <c r="D503" t="s">
        <v>140</v>
      </c>
      <c r="E503" s="1" t="s">
        <v>579</v>
      </c>
      <c r="F503" s="1" t="s">
        <v>34</v>
      </c>
      <c r="G503" s="1" t="s">
        <v>92</v>
      </c>
      <c r="H503" s="1">
        <v>6</v>
      </c>
      <c r="I503" s="1">
        <v>8</v>
      </c>
      <c r="J503" s="1" t="str">
        <f>VLOOKUP(A503,'Leghe Fantacalcio'!A:I,1,FALSE)</f>
        <v>CocoTorino</v>
      </c>
      <c r="K503" s="1" t="e">
        <f>VLOOKUP(B503,'Leghe Fantacalcio'!A:I,1,FALSE)</f>
        <v>#N/A</v>
      </c>
      <c r="L503" s="1">
        <f>IF(ISNA(VLOOKUP(A503,'Leghe Fantacalcio'!A:I,2,FALSE)),"",VLOOKUP(A503,'Leghe Fantacalcio'!A:I,2,FALSE))</f>
        <v>6642</v>
      </c>
      <c r="M503" s="1" t="str">
        <f>IF(ISNA(VLOOKUP(B503,'Leghe Fantacalcio'!A:I,2,FALSE)),"",VLOOKUP(B503,'Leghe Fantacalcio'!A:I,2,FALSE))</f>
        <v/>
      </c>
      <c r="N503" s="1">
        <f t="shared" si="30"/>
        <v>6642</v>
      </c>
      <c r="O503" s="1">
        <f>IFERROR(VLOOKUP(N503,'Leghe Fantacalcio'!B:I,8,FALSE),0)</f>
        <v>14</v>
      </c>
      <c r="P503" s="1" t="str">
        <f t="shared" si="31"/>
        <v>update giocatori set fvm = 14 where id = 1117029;</v>
      </c>
    </row>
    <row r="504" spans="1:16" x14ac:dyDescent="0.25">
      <c r="A504" s="1" t="str">
        <f t="shared" si="28"/>
        <v>SimeoneTorino</v>
      </c>
      <c r="B504" s="1" t="str">
        <f t="shared" si="29"/>
        <v>Simeone G.Torino</v>
      </c>
      <c r="C504" s="1">
        <v>1060802</v>
      </c>
      <c r="D504" s="1" t="s">
        <v>505</v>
      </c>
      <c r="E504" s="1" t="s">
        <v>575</v>
      </c>
      <c r="F504" s="1" t="s">
        <v>34</v>
      </c>
      <c r="G504" s="1" t="s">
        <v>478</v>
      </c>
      <c r="H504" s="1">
        <v>6</v>
      </c>
      <c r="I504" s="1">
        <v>40</v>
      </c>
      <c r="J504" s="1" t="str">
        <f>VLOOKUP(A504,'Leghe Fantacalcio'!A:I,1,FALSE)</f>
        <v>SimeoneTorino</v>
      </c>
      <c r="K504" s="1" t="e">
        <f>VLOOKUP(B504,'Leghe Fantacalcio'!A:I,1,FALSE)</f>
        <v>#N/A</v>
      </c>
      <c r="L504" s="1">
        <f>IF(ISNA(VLOOKUP(A504,'Leghe Fantacalcio'!A:I,2,FALSE)),"",VLOOKUP(A504,'Leghe Fantacalcio'!A:I,2,FALSE))</f>
        <v>2061</v>
      </c>
      <c r="M504" s="1" t="str">
        <f>IF(ISNA(VLOOKUP(B504,'Leghe Fantacalcio'!A:I,2,FALSE)),"",VLOOKUP(B504,'Leghe Fantacalcio'!A:I,2,FALSE))</f>
        <v/>
      </c>
      <c r="N504" s="1">
        <f t="shared" si="30"/>
        <v>2061</v>
      </c>
      <c r="O504" s="1">
        <f>IFERROR(VLOOKUP(N504,'Leghe Fantacalcio'!B:I,8,FALSE),0)</f>
        <v>58</v>
      </c>
      <c r="P504" s="1" t="str">
        <f t="shared" si="31"/>
        <v>update giocatori set fvm = 58 where id = 1060802;</v>
      </c>
    </row>
    <row r="505" spans="1:16" x14ac:dyDescent="0.25">
      <c r="A505" s="1" t="str">
        <f t="shared" si="28"/>
        <v>SivieroTorino</v>
      </c>
      <c r="B505" s="1" t="str">
        <f t="shared" si="29"/>
        <v>Siviero L.Torino</v>
      </c>
      <c r="C505" s="1">
        <v>1120203</v>
      </c>
      <c r="D505" s="1" t="s">
        <v>78</v>
      </c>
      <c r="E505" s="1" t="s">
        <v>590</v>
      </c>
      <c r="F505" s="1" t="s">
        <v>34</v>
      </c>
      <c r="G505" s="1" t="s">
        <v>8</v>
      </c>
      <c r="H505" s="1">
        <v>6</v>
      </c>
      <c r="I505" s="1">
        <v>1</v>
      </c>
      <c r="J505" s="1" t="str">
        <f>VLOOKUP(A505,'Leghe Fantacalcio'!A:I,1,FALSE)</f>
        <v>SivieroTorino</v>
      </c>
      <c r="K505" s="1" t="e">
        <f>VLOOKUP(B505,'Leghe Fantacalcio'!A:I,1,FALSE)</f>
        <v>#N/A</v>
      </c>
      <c r="L505" s="1">
        <f>IF(ISNA(VLOOKUP(A505,'Leghe Fantacalcio'!A:I,2,FALSE)),"",VLOOKUP(A505,'Leghe Fantacalcio'!A:I,2,FALSE))</f>
        <v>7363</v>
      </c>
      <c r="M505" s="1" t="str">
        <f>IF(ISNA(VLOOKUP(B505,'Leghe Fantacalcio'!A:I,2,FALSE)),"",VLOOKUP(B505,'Leghe Fantacalcio'!A:I,2,FALSE))</f>
        <v/>
      </c>
      <c r="N505" s="1">
        <f t="shared" si="30"/>
        <v>7363</v>
      </c>
      <c r="O505" s="1">
        <f>IFERROR(VLOOKUP(N505,'Leghe Fantacalcio'!B:I,8,FALSE),0)</f>
        <v>1</v>
      </c>
      <c r="P505" s="1" t="str">
        <f t="shared" si="31"/>
        <v>update giocatori set fvm = 1 where id = 1120203;</v>
      </c>
    </row>
    <row r="506" spans="1:16" x14ac:dyDescent="0.25">
      <c r="A506" s="1" t="str">
        <f t="shared" si="28"/>
        <v>VlasicTorino</v>
      </c>
      <c r="B506" s="1" t="str">
        <f t="shared" si="29"/>
        <v>Vlasic N.Torino</v>
      </c>
      <c r="C506" s="1">
        <v>1046949</v>
      </c>
      <c r="D506" s="1" t="s">
        <v>326</v>
      </c>
      <c r="E506" s="1" t="s">
        <v>578</v>
      </c>
      <c r="F506" s="1" t="s">
        <v>34</v>
      </c>
      <c r="G506" s="1" t="s">
        <v>283</v>
      </c>
      <c r="H506" s="1">
        <v>6</v>
      </c>
      <c r="I506" s="1">
        <v>37</v>
      </c>
      <c r="J506" s="1" t="str">
        <f>VLOOKUP(A506,'Leghe Fantacalcio'!A:I,1,FALSE)</f>
        <v>VlasicTorino</v>
      </c>
      <c r="K506" s="1" t="e">
        <f>VLOOKUP(B506,'Leghe Fantacalcio'!A:I,1,FALSE)</f>
        <v>#N/A</v>
      </c>
      <c r="L506" s="1">
        <f>IF(ISNA(VLOOKUP(A506,'Leghe Fantacalcio'!A:I,2,FALSE)),"",VLOOKUP(A506,'Leghe Fantacalcio'!A:I,2,FALSE))</f>
        <v>5687</v>
      </c>
      <c r="M506" s="1" t="str">
        <f>IF(ISNA(VLOOKUP(B506,'Leghe Fantacalcio'!A:I,2,FALSE)),"",VLOOKUP(B506,'Leghe Fantacalcio'!A:I,2,FALSE))</f>
        <v/>
      </c>
      <c r="N506" s="1">
        <f t="shared" si="30"/>
        <v>5687</v>
      </c>
      <c r="O506" s="1">
        <f>IFERROR(VLOOKUP(N506,'Leghe Fantacalcio'!B:I,8,FALSE),0)</f>
        <v>57</v>
      </c>
      <c r="P506" s="1" t="str">
        <f t="shared" si="31"/>
        <v>update giocatori set fvm = 57 where id = 1046949;</v>
      </c>
    </row>
    <row r="507" spans="1:16" x14ac:dyDescent="0.25">
      <c r="A507" s="1" t="str">
        <f t="shared" si="28"/>
        <v>ZapataTorino</v>
      </c>
      <c r="B507" s="1" t="str">
        <f t="shared" si="29"/>
        <v>Zapata D.Torino</v>
      </c>
      <c r="C507" s="1">
        <v>1043622</v>
      </c>
      <c r="D507" s="1" t="s">
        <v>692</v>
      </c>
      <c r="E507" s="1" t="s">
        <v>593</v>
      </c>
      <c r="F507" s="1" t="s">
        <v>34</v>
      </c>
      <c r="G507" s="1" t="s">
        <v>478</v>
      </c>
      <c r="H507" s="1">
        <v>6</v>
      </c>
      <c r="I507" s="1">
        <v>32</v>
      </c>
      <c r="J507" s="1" t="e">
        <f>VLOOKUP(A507,'Leghe Fantacalcio'!A:I,1,FALSE)</f>
        <v>#N/A</v>
      </c>
      <c r="K507" s="1" t="str">
        <f>VLOOKUP(B507,'Leghe Fantacalcio'!A:I,1,FALSE)</f>
        <v>Zapata D.Torino</v>
      </c>
      <c r="L507" s="1" t="str">
        <f>IF(ISNA(VLOOKUP(A507,'Leghe Fantacalcio'!A:I,2,FALSE)),"",VLOOKUP(A507,'Leghe Fantacalcio'!A:I,2,FALSE))</f>
        <v/>
      </c>
      <c r="M507" s="1">
        <f>IF(ISNA(VLOOKUP(B507,'Leghe Fantacalcio'!A:I,2,FALSE)),"",VLOOKUP(B507,'Leghe Fantacalcio'!A:I,2,FALSE))</f>
        <v>608</v>
      </c>
      <c r="N507" s="1">
        <f t="shared" si="30"/>
        <v>608</v>
      </c>
      <c r="O507" s="1">
        <f>IFERROR(VLOOKUP(N507,'Leghe Fantacalcio'!B:I,8,FALSE),0)</f>
        <v>10</v>
      </c>
      <c r="P507" s="1" t="str">
        <f t="shared" si="31"/>
        <v>update giocatori set fvm = 10 where id = 1043622;</v>
      </c>
    </row>
    <row r="508" spans="1:16" x14ac:dyDescent="0.25">
      <c r="A508" s="1" t="str">
        <f t="shared" si="28"/>
        <v>AbankwahUdinese</v>
      </c>
      <c r="B508" s="1" t="str">
        <f t="shared" si="29"/>
        <v>Abankwah J.Udinese</v>
      </c>
      <c r="C508" s="1">
        <v>1115130</v>
      </c>
      <c r="D508" s="1" t="s">
        <v>157</v>
      </c>
      <c r="E508" s="1" t="s">
        <v>571</v>
      </c>
      <c r="F508" s="1" t="s">
        <v>36</v>
      </c>
      <c r="G508" s="1" t="s">
        <v>92</v>
      </c>
      <c r="H508" s="1">
        <v>6</v>
      </c>
      <c r="I508" s="1">
        <v>3</v>
      </c>
      <c r="J508" s="1" t="str">
        <f>VLOOKUP(A508,'Leghe Fantacalcio'!A:I,1,FALSE)</f>
        <v>AbankwahUdinese</v>
      </c>
      <c r="K508" s="1" t="e">
        <f>VLOOKUP(B508,'Leghe Fantacalcio'!A:I,1,FALSE)</f>
        <v>#N/A</v>
      </c>
      <c r="L508" s="1">
        <f>IF(ISNA(VLOOKUP(A508,'Leghe Fantacalcio'!A:I,2,FALSE)),"",VLOOKUP(A508,'Leghe Fantacalcio'!A:I,2,FALSE))</f>
        <v>6021</v>
      </c>
      <c r="M508" s="1" t="str">
        <f>IF(ISNA(VLOOKUP(B508,'Leghe Fantacalcio'!A:I,2,FALSE)),"",VLOOKUP(B508,'Leghe Fantacalcio'!A:I,2,FALSE))</f>
        <v/>
      </c>
      <c r="N508" s="1">
        <f t="shared" si="30"/>
        <v>6021</v>
      </c>
      <c r="O508" s="1">
        <f>IFERROR(VLOOKUP(N508,'Leghe Fantacalcio'!B:I,8,FALSE),0)</f>
        <v>14</v>
      </c>
      <c r="P508" s="1" t="str">
        <f t="shared" si="31"/>
        <v>update giocatori set fvm = 14 where id = 1115130;</v>
      </c>
    </row>
    <row r="509" spans="1:16" x14ac:dyDescent="0.25">
      <c r="A509" s="1" t="str">
        <f t="shared" si="28"/>
        <v>ArizalaUdinese</v>
      </c>
      <c r="B509" s="1" t="str">
        <f t="shared" si="29"/>
        <v>Arizala J.Udinese</v>
      </c>
      <c r="C509" s="1">
        <v>1120272</v>
      </c>
      <c r="D509" s="1" t="s">
        <v>233</v>
      </c>
      <c r="E509" s="1" t="s">
        <v>571</v>
      </c>
      <c r="F509" s="1" t="s">
        <v>36</v>
      </c>
      <c r="G509" s="1" t="s">
        <v>92</v>
      </c>
      <c r="H509" s="1">
        <v>6</v>
      </c>
      <c r="I509" s="1">
        <v>1</v>
      </c>
      <c r="J509" s="1" t="str">
        <f>VLOOKUP(A509,'Leghe Fantacalcio'!A:I,1,FALSE)</f>
        <v>ArizalaUdinese</v>
      </c>
      <c r="K509" s="1" t="e">
        <f>VLOOKUP(B509,'Leghe Fantacalcio'!A:I,1,FALSE)</f>
        <v>#N/A</v>
      </c>
      <c r="L509" s="1">
        <f>IF(ISNA(VLOOKUP(A509,'Leghe Fantacalcio'!A:I,2,FALSE)),"",VLOOKUP(A509,'Leghe Fantacalcio'!A:I,2,FALSE))</f>
        <v>7312</v>
      </c>
      <c r="M509" s="1" t="str">
        <f>IF(ISNA(VLOOKUP(B509,'Leghe Fantacalcio'!A:I,2,FALSE)),"",VLOOKUP(B509,'Leghe Fantacalcio'!A:I,2,FALSE))</f>
        <v/>
      </c>
      <c r="N509" s="1">
        <f t="shared" si="30"/>
        <v>7312</v>
      </c>
      <c r="O509" s="1">
        <f>IFERROR(VLOOKUP(N509,'Leghe Fantacalcio'!B:I,8,FALSE),0)</f>
        <v>8</v>
      </c>
      <c r="P509" s="1" t="str">
        <f t="shared" si="31"/>
        <v>update giocatori set fvm = 8 where id = 1120272;</v>
      </c>
    </row>
    <row r="510" spans="1:16" x14ac:dyDescent="0.25">
      <c r="A510" s="1" t="str">
        <f t="shared" si="28"/>
        <v>BayoUdinese</v>
      </c>
      <c r="B510" s="1" t="str">
        <f t="shared" si="29"/>
        <v>Bayo V.Udinese</v>
      </c>
      <c r="C510" s="1">
        <v>1068893</v>
      </c>
      <c r="D510" s="1" t="s">
        <v>670</v>
      </c>
      <c r="E510" s="1" t="s">
        <v>595</v>
      </c>
      <c r="F510" s="1" t="s">
        <v>36</v>
      </c>
      <c r="G510" s="1" t="s">
        <v>478</v>
      </c>
      <c r="H510" s="1">
        <v>6</v>
      </c>
      <c r="I510" s="1">
        <v>12</v>
      </c>
      <c r="J510" s="1" t="e">
        <f>VLOOKUP(A510,'Leghe Fantacalcio'!A:I,1,FALSE)</f>
        <v>#N/A</v>
      </c>
      <c r="K510" s="1" t="str">
        <f>VLOOKUP(B510,'Leghe Fantacalcio'!A:I,1,FALSE)</f>
        <v>Bayo V.Udinese</v>
      </c>
      <c r="L510" s="1" t="str">
        <f>IF(ISNA(VLOOKUP(A510,'Leghe Fantacalcio'!A:I,2,FALSE)),"",VLOOKUP(A510,'Leghe Fantacalcio'!A:I,2,FALSE))</f>
        <v/>
      </c>
      <c r="M510" s="1">
        <f>IF(ISNA(VLOOKUP(B510,'Leghe Fantacalcio'!A:I,2,FALSE)),"",VLOOKUP(B510,'Leghe Fantacalcio'!A:I,2,FALSE))</f>
        <v>7161</v>
      </c>
      <c r="N510" s="1">
        <f t="shared" si="30"/>
        <v>7161</v>
      </c>
      <c r="O510" s="1">
        <f>IFERROR(VLOOKUP(N510,'Leghe Fantacalcio'!B:I,8,FALSE),0)</f>
        <v>3</v>
      </c>
      <c r="P510" s="1" t="str">
        <f t="shared" si="31"/>
        <v>update giocatori set fvm = 3 where id = 1068893;</v>
      </c>
    </row>
    <row r="511" spans="1:16" x14ac:dyDescent="0.25">
      <c r="A511" s="1" t="str">
        <f t="shared" si="28"/>
        <v>BertolaUdinese</v>
      </c>
      <c r="B511" s="1" t="str">
        <f t="shared" si="29"/>
        <v>Bertola N.Udinese</v>
      </c>
      <c r="C511" s="1">
        <v>1109914</v>
      </c>
      <c r="D511" s="1" t="s">
        <v>217</v>
      </c>
      <c r="E511" s="1" t="s">
        <v>578</v>
      </c>
      <c r="F511" s="1" t="s">
        <v>36</v>
      </c>
      <c r="G511" s="1" t="s">
        <v>92</v>
      </c>
      <c r="H511" s="1">
        <v>6</v>
      </c>
      <c r="I511" s="1">
        <v>6</v>
      </c>
      <c r="J511" s="1" t="str">
        <f>VLOOKUP(A511,'Leghe Fantacalcio'!A:I,1,FALSE)</f>
        <v>BertolaUdinese</v>
      </c>
      <c r="K511" s="1" t="e">
        <f>VLOOKUP(B511,'Leghe Fantacalcio'!A:I,1,FALSE)</f>
        <v>#N/A</v>
      </c>
      <c r="L511" s="1">
        <f>IF(ISNA(VLOOKUP(A511,'Leghe Fantacalcio'!A:I,2,FALSE)),"",VLOOKUP(A511,'Leghe Fantacalcio'!A:I,2,FALSE))</f>
        <v>5820</v>
      </c>
      <c r="M511" s="1" t="str">
        <f>IF(ISNA(VLOOKUP(B511,'Leghe Fantacalcio'!A:I,2,FALSE)),"",VLOOKUP(B511,'Leghe Fantacalcio'!A:I,2,FALSE))</f>
        <v/>
      </c>
      <c r="N511" s="1">
        <f t="shared" si="30"/>
        <v>5820</v>
      </c>
      <c r="O511" s="1">
        <f>IFERROR(VLOOKUP(N511,'Leghe Fantacalcio'!B:I,8,FALSE),0)</f>
        <v>9</v>
      </c>
      <c r="P511" s="1" t="str">
        <f t="shared" si="31"/>
        <v>update giocatori set fvm = 9 where id = 1109914;</v>
      </c>
    </row>
    <row r="512" spans="1:16" x14ac:dyDescent="0.25">
      <c r="A512" s="1" t="str">
        <f t="shared" si="28"/>
        <v>ChakvetadzeUdinese</v>
      </c>
      <c r="B512" s="1" t="str">
        <f t="shared" si="29"/>
        <v>Chakvetadze G.Udinese</v>
      </c>
      <c r="C512" s="1">
        <v>1060867</v>
      </c>
      <c r="D512" s="1" t="s">
        <v>444</v>
      </c>
      <c r="E512" s="1" t="s">
        <v>575</v>
      </c>
      <c r="F512" s="1" t="s">
        <v>36</v>
      </c>
      <c r="G512" s="1" t="s">
        <v>283</v>
      </c>
      <c r="H512" s="1">
        <v>6</v>
      </c>
      <c r="I512" s="1">
        <v>10</v>
      </c>
      <c r="J512" s="1" t="str">
        <f>VLOOKUP(A512,'Leghe Fantacalcio'!A:I,1,FALSE)</f>
        <v>ChakvetadzeUdinese</v>
      </c>
      <c r="K512" s="1" t="e">
        <f>VLOOKUP(B512,'Leghe Fantacalcio'!A:I,1,FALSE)</f>
        <v>#N/A</v>
      </c>
      <c r="L512" s="1">
        <f>IF(ISNA(VLOOKUP(A512,'Leghe Fantacalcio'!A:I,2,FALSE)),"",VLOOKUP(A512,'Leghe Fantacalcio'!A:I,2,FALSE))</f>
        <v>7418</v>
      </c>
      <c r="M512" s="1" t="str">
        <f>IF(ISNA(VLOOKUP(B512,'Leghe Fantacalcio'!A:I,2,FALSE)),"",VLOOKUP(B512,'Leghe Fantacalcio'!A:I,2,FALSE))</f>
        <v/>
      </c>
      <c r="N512" s="1">
        <f t="shared" si="30"/>
        <v>7418</v>
      </c>
      <c r="O512" s="1">
        <f>IFERROR(VLOOKUP(N512,'Leghe Fantacalcio'!B:I,8,FALSE),0)</f>
        <v>6</v>
      </c>
      <c r="P512" s="1" t="str">
        <f t="shared" si="31"/>
        <v>update giocatori set fvm = 6 where id = 1060867;</v>
      </c>
    </row>
    <row r="513" spans="1:16" x14ac:dyDescent="0.25">
      <c r="A513" s="1" t="str">
        <f t="shared" si="28"/>
        <v>DavisUdinese</v>
      </c>
      <c r="B513" s="1" t="str">
        <f t="shared" si="29"/>
        <v>Davis K.Udinese</v>
      </c>
      <c r="C513" s="1">
        <v>1058086</v>
      </c>
      <c r="D513" s="1" t="s">
        <v>673</v>
      </c>
      <c r="E513" s="1" t="s">
        <v>586</v>
      </c>
      <c r="F513" s="1" t="s">
        <v>36</v>
      </c>
      <c r="G513" s="1" t="s">
        <v>478</v>
      </c>
      <c r="H513" s="1">
        <v>6</v>
      </c>
      <c r="I513" s="1">
        <v>45</v>
      </c>
      <c r="J513" s="1" t="e">
        <f>VLOOKUP(A513,'Leghe Fantacalcio'!A:I,1,FALSE)</f>
        <v>#N/A</v>
      </c>
      <c r="K513" s="1" t="str">
        <f>VLOOKUP(B513,'Leghe Fantacalcio'!A:I,1,FALSE)</f>
        <v>Davis K.Udinese</v>
      </c>
      <c r="L513" s="1" t="str">
        <f>IF(ISNA(VLOOKUP(A513,'Leghe Fantacalcio'!A:I,2,FALSE)),"",VLOOKUP(A513,'Leghe Fantacalcio'!A:I,2,FALSE))</f>
        <v/>
      </c>
      <c r="M513" s="1">
        <f>IF(ISNA(VLOOKUP(B513,'Leghe Fantacalcio'!A:I,2,FALSE)),"",VLOOKUP(B513,'Leghe Fantacalcio'!A:I,2,FALSE))</f>
        <v>5637</v>
      </c>
      <c r="N513" s="1">
        <f t="shared" si="30"/>
        <v>5637</v>
      </c>
      <c r="O513" s="1">
        <f>IFERROR(VLOOKUP(N513,'Leghe Fantacalcio'!B:I,8,FALSE),0)</f>
        <v>113</v>
      </c>
      <c r="P513" s="1" t="str">
        <f t="shared" si="31"/>
        <v>update giocatori set fvm = 113 where id = 1058086;</v>
      </c>
    </row>
    <row r="514" spans="1:16" x14ac:dyDescent="0.25">
      <c r="A514" s="1" t="str">
        <f t="shared" ref="A514:A570" si="32">CONCATENATE(D514,F514)</f>
        <v>EbosseUdinese</v>
      </c>
      <c r="B514" s="1" t="str">
        <f t="shared" si="29"/>
        <v>Ebosse E.Udinese</v>
      </c>
      <c r="C514" s="1">
        <v>1095264</v>
      </c>
      <c r="D514" s="1" t="s">
        <v>232</v>
      </c>
      <c r="E514" s="1" t="s">
        <v>573</v>
      </c>
      <c r="F514" s="1" t="s">
        <v>36</v>
      </c>
      <c r="G514" s="1" t="s">
        <v>92</v>
      </c>
      <c r="H514" s="1">
        <v>6</v>
      </c>
      <c r="I514" s="1">
        <v>3</v>
      </c>
      <c r="J514" s="1" t="str">
        <f>VLOOKUP(A514,'Leghe Fantacalcio'!A:I,1,FALSE)</f>
        <v>EbosseUdinese</v>
      </c>
      <c r="K514" s="1" t="e">
        <f>VLOOKUP(B514,'Leghe Fantacalcio'!A:I,1,FALSE)</f>
        <v>#N/A</v>
      </c>
      <c r="L514" s="1">
        <f>IF(ISNA(VLOOKUP(A514,'Leghe Fantacalcio'!A:I,2,FALSE)),"",VLOOKUP(A514,'Leghe Fantacalcio'!A:I,2,FALSE))</f>
        <v>5994</v>
      </c>
      <c r="M514" s="1" t="str">
        <f>IF(ISNA(VLOOKUP(B514,'Leghe Fantacalcio'!A:I,2,FALSE)),"",VLOOKUP(B514,'Leghe Fantacalcio'!A:I,2,FALSE))</f>
        <v/>
      </c>
      <c r="N514" s="1">
        <f t="shared" si="30"/>
        <v>5994</v>
      </c>
      <c r="O514" s="1">
        <f>IFERROR(VLOOKUP(N514,'Leghe Fantacalcio'!B:I,8,FALSE),0)</f>
        <v>5</v>
      </c>
      <c r="P514" s="1" t="str">
        <f t="shared" si="31"/>
        <v>update giocatori set fvm = 5 where id = 1095264;</v>
      </c>
    </row>
    <row r="515" spans="1:16" x14ac:dyDescent="0.25">
      <c r="A515" s="1" t="str">
        <f t="shared" si="32"/>
        <v>EkkelenkampUdinese</v>
      </c>
      <c r="B515" s="1" t="str">
        <f t="shared" ref="B515:B570" si="33">CONCATENATE(D515," ",E515,F515)</f>
        <v>Ekkelenkamp J.Udinese</v>
      </c>
      <c r="C515" s="1">
        <v>1066186</v>
      </c>
      <c r="D515" s="1" t="s">
        <v>303</v>
      </c>
      <c r="E515" s="1" t="s">
        <v>571</v>
      </c>
      <c r="F515" s="1" t="s">
        <v>36</v>
      </c>
      <c r="G515" s="1" t="s">
        <v>283</v>
      </c>
      <c r="H515" s="1">
        <v>6</v>
      </c>
      <c r="I515" s="1">
        <v>28</v>
      </c>
      <c r="J515" s="1" t="str">
        <f>VLOOKUP(A515,'Leghe Fantacalcio'!A:I,1,FALSE)</f>
        <v>EkkelenkampUdinese</v>
      </c>
      <c r="K515" s="1" t="e">
        <f>VLOOKUP(B515,'Leghe Fantacalcio'!A:I,1,FALSE)</f>
        <v>#N/A</v>
      </c>
      <c r="L515" s="1">
        <f>IF(ISNA(VLOOKUP(A515,'Leghe Fantacalcio'!A:I,2,FALSE)),"",VLOOKUP(A515,'Leghe Fantacalcio'!A:I,2,FALSE))</f>
        <v>6684</v>
      </c>
      <c r="M515" s="1" t="str">
        <f>IF(ISNA(VLOOKUP(B515,'Leghe Fantacalcio'!A:I,2,FALSE)),"",VLOOKUP(B515,'Leghe Fantacalcio'!A:I,2,FALSE))</f>
        <v/>
      </c>
      <c r="N515" s="1">
        <f t="shared" ref="N515:N570" si="34">IFERROR(VALUE(CONCATENATE(L515,M515)),"")</f>
        <v>6684</v>
      </c>
      <c r="O515" s="1">
        <f>IFERROR(VLOOKUP(N515,'Leghe Fantacalcio'!B:I,8,FALSE),0)</f>
        <v>64</v>
      </c>
      <c r="P515" s="1" t="str">
        <f t="shared" ref="P515:P570" si="35">CONCATENATE("update giocatori set fvm = ",O515," where id = ",C515,";")</f>
        <v>update giocatori set fvm = 64 where id = 1066186;</v>
      </c>
    </row>
    <row r="516" spans="1:16" x14ac:dyDescent="0.25">
      <c r="A516" s="1" t="str">
        <f t="shared" si="32"/>
        <v>GueyeUdinese</v>
      </c>
      <c r="B516" s="1" t="str">
        <f t="shared" si="33"/>
        <v>Gueye I.Udinese</v>
      </c>
      <c r="C516" s="1">
        <v>1118401</v>
      </c>
      <c r="D516" s="1" t="s">
        <v>531</v>
      </c>
      <c r="E516" s="1" t="s">
        <v>600</v>
      </c>
      <c r="F516" s="1" t="s">
        <v>36</v>
      </c>
      <c r="G516" s="1" t="s">
        <v>478</v>
      </c>
      <c r="H516" s="1">
        <v>6</v>
      </c>
      <c r="I516" s="1">
        <v>14</v>
      </c>
      <c r="J516" s="1" t="str">
        <f>VLOOKUP(A516,'Leghe Fantacalcio'!A:I,1,FALSE)</f>
        <v>GueyeUdinese</v>
      </c>
      <c r="K516" s="1" t="e">
        <f>VLOOKUP(B516,'Leghe Fantacalcio'!A:I,1,FALSE)</f>
        <v>#N/A</v>
      </c>
      <c r="L516" s="1">
        <f>IF(ISNA(VLOOKUP(A516,'Leghe Fantacalcio'!A:I,2,FALSE)),"",VLOOKUP(A516,'Leghe Fantacalcio'!A:I,2,FALSE))</f>
        <v>7272</v>
      </c>
      <c r="M516" s="1" t="str">
        <f>IF(ISNA(VLOOKUP(B516,'Leghe Fantacalcio'!A:I,2,FALSE)),"",VLOOKUP(B516,'Leghe Fantacalcio'!A:I,2,FALSE))</f>
        <v/>
      </c>
      <c r="N516" s="1">
        <f t="shared" si="34"/>
        <v>7272</v>
      </c>
      <c r="O516" s="1">
        <f>IFERROR(VLOOKUP(N516,'Leghe Fantacalcio'!B:I,8,FALSE),0)</f>
        <v>10</v>
      </c>
      <c r="P516" s="1" t="str">
        <f t="shared" si="35"/>
        <v>update giocatori set fvm = 10 where id = 1118401;</v>
      </c>
    </row>
    <row r="517" spans="1:16" x14ac:dyDescent="0.25">
      <c r="A517" s="1" t="str">
        <f t="shared" si="32"/>
        <v>JovanovicUdinese</v>
      </c>
      <c r="B517" s="1" t="str">
        <f t="shared" si="33"/>
        <v>Jovanovic L.Udinese</v>
      </c>
      <c r="C517" s="1">
        <v>1120638</v>
      </c>
      <c r="D517" s="1" t="s">
        <v>475</v>
      </c>
      <c r="E517" s="1" t="s">
        <v>590</v>
      </c>
      <c r="F517" s="1" t="s">
        <v>36</v>
      </c>
      <c r="G517" s="1" t="s">
        <v>283</v>
      </c>
      <c r="H517" s="1">
        <v>6</v>
      </c>
      <c r="I517" s="1">
        <v>7</v>
      </c>
      <c r="J517" s="1" t="str">
        <f>VLOOKUP(A517,'Leghe Fantacalcio'!A:I,1,FALSE)</f>
        <v>JovanovicUdinese</v>
      </c>
      <c r="K517" s="1" t="e">
        <f>VLOOKUP(B517,'Leghe Fantacalcio'!A:I,1,FALSE)</f>
        <v>#N/A</v>
      </c>
      <c r="L517" s="1">
        <f>IF(ISNA(VLOOKUP(A517,'Leghe Fantacalcio'!A:I,2,FALSE)),"",VLOOKUP(A517,'Leghe Fantacalcio'!A:I,2,FALSE))</f>
        <v>7092</v>
      </c>
      <c r="M517" s="1" t="str">
        <f>IF(ISNA(VLOOKUP(B517,'Leghe Fantacalcio'!A:I,2,FALSE)),"",VLOOKUP(B517,'Leghe Fantacalcio'!A:I,2,FALSE))</f>
        <v/>
      </c>
      <c r="N517" s="1">
        <f t="shared" si="34"/>
        <v>7092</v>
      </c>
      <c r="O517" s="1">
        <f>IFERROR(VLOOKUP(N517,'Leghe Fantacalcio'!B:I,8,FALSE),0)</f>
        <v>5</v>
      </c>
      <c r="P517" s="1" t="str">
        <f t="shared" si="35"/>
        <v>update giocatori set fvm = 5 where id = 1120638;</v>
      </c>
    </row>
    <row r="518" spans="1:16" x14ac:dyDescent="0.25">
      <c r="A518" s="1" t="str">
        <f t="shared" si="32"/>
        <v>KabaseleUdinese</v>
      </c>
      <c r="B518" s="1" t="str">
        <f t="shared" si="33"/>
        <v>Kabasele C.Udinese</v>
      </c>
      <c r="C518" s="1">
        <v>1037476</v>
      </c>
      <c r="D518" s="1" t="s">
        <v>231</v>
      </c>
      <c r="E518" s="1" t="s">
        <v>592</v>
      </c>
      <c r="F518" s="1" t="s">
        <v>36</v>
      </c>
      <c r="G518" s="1" t="s">
        <v>92</v>
      </c>
      <c r="H518" s="1">
        <v>6</v>
      </c>
      <c r="I518" s="1">
        <v>7</v>
      </c>
      <c r="J518" s="1" t="str">
        <f>VLOOKUP(A518,'Leghe Fantacalcio'!A:I,1,FALSE)</f>
        <v>KabaseleUdinese</v>
      </c>
      <c r="K518" s="1" t="e">
        <f>VLOOKUP(B518,'Leghe Fantacalcio'!A:I,1,FALSE)</f>
        <v>#N/A</v>
      </c>
      <c r="L518" s="1">
        <f>IF(ISNA(VLOOKUP(A518,'Leghe Fantacalcio'!A:I,2,FALSE)),"",VLOOKUP(A518,'Leghe Fantacalcio'!A:I,2,FALSE))</f>
        <v>4263</v>
      </c>
      <c r="M518" s="1" t="str">
        <f>IF(ISNA(VLOOKUP(B518,'Leghe Fantacalcio'!A:I,2,FALSE)),"",VLOOKUP(B518,'Leghe Fantacalcio'!A:I,2,FALSE))</f>
        <v/>
      </c>
      <c r="N518" s="1">
        <f t="shared" si="34"/>
        <v>4263</v>
      </c>
      <c r="O518" s="1">
        <f>IFERROR(VLOOKUP(N518,'Leghe Fantacalcio'!B:I,8,FALSE),0)</f>
        <v>10</v>
      </c>
      <c r="P518" s="1" t="str">
        <f t="shared" si="35"/>
        <v>update giocatori set fvm = 10 where id = 1037476;</v>
      </c>
    </row>
    <row r="519" spans="1:16" x14ac:dyDescent="0.25">
      <c r="A519" s="1" t="str">
        <f t="shared" si="32"/>
        <v>KamaraUdinese</v>
      </c>
      <c r="B519" s="1" t="str">
        <f t="shared" si="33"/>
        <v>Kamara H.Udinese</v>
      </c>
      <c r="C519" s="1">
        <v>1056975</v>
      </c>
      <c r="D519" s="1" t="s">
        <v>619</v>
      </c>
      <c r="E519" s="1" t="s">
        <v>620</v>
      </c>
      <c r="F519" s="1" t="s">
        <v>36</v>
      </c>
      <c r="G519" s="1" t="s">
        <v>92</v>
      </c>
      <c r="H519" s="1">
        <v>6</v>
      </c>
      <c r="I519" s="1">
        <v>12</v>
      </c>
      <c r="J519" s="1" t="e">
        <f>VLOOKUP(A519,'Leghe Fantacalcio'!A:I,1,FALSE)</f>
        <v>#N/A</v>
      </c>
      <c r="K519" s="1" t="str">
        <f>VLOOKUP(B519,'Leghe Fantacalcio'!A:I,1,FALSE)</f>
        <v>Kamara H.Udinese</v>
      </c>
      <c r="L519" s="1" t="str">
        <f>IF(ISNA(VLOOKUP(A519,'Leghe Fantacalcio'!A:I,2,FALSE)),"",VLOOKUP(A519,'Leghe Fantacalcio'!A:I,2,FALSE))</f>
        <v/>
      </c>
      <c r="M519" s="1">
        <f>IF(ISNA(VLOOKUP(B519,'Leghe Fantacalcio'!A:I,2,FALSE)),"",VLOOKUP(B519,'Leghe Fantacalcio'!A:I,2,FALSE))</f>
        <v>5555</v>
      </c>
      <c r="N519" s="1">
        <f t="shared" si="34"/>
        <v>5555</v>
      </c>
      <c r="O519" s="1">
        <f>IFERROR(VLOOKUP(N519,'Leghe Fantacalcio'!B:I,8,FALSE),0)</f>
        <v>15</v>
      </c>
      <c r="P519" s="1" t="str">
        <f t="shared" si="35"/>
        <v>update giocatori set fvm = 15 where id = 1056975;</v>
      </c>
    </row>
    <row r="520" spans="1:16" x14ac:dyDescent="0.25">
      <c r="A520" s="1" t="str">
        <f t="shared" si="32"/>
        <v>KarlstromUdinese</v>
      </c>
      <c r="B520" s="1" t="str">
        <f t="shared" si="33"/>
        <v>Karlstrom J.Udinese</v>
      </c>
      <c r="C520" s="1">
        <v>1095556</v>
      </c>
      <c r="D520" s="1" t="s">
        <v>344</v>
      </c>
      <c r="E520" s="1" t="s">
        <v>571</v>
      </c>
      <c r="F520" s="1" t="s">
        <v>36</v>
      </c>
      <c r="G520" s="1" t="s">
        <v>283</v>
      </c>
      <c r="H520" s="1">
        <v>6</v>
      </c>
      <c r="I520" s="1">
        <v>22</v>
      </c>
      <c r="J520" s="1" t="str">
        <f>VLOOKUP(A520,'Leghe Fantacalcio'!A:I,1,FALSE)</f>
        <v>KarlstromUdinese</v>
      </c>
      <c r="K520" s="1" t="e">
        <f>VLOOKUP(B520,'Leghe Fantacalcio'!A:I,1,FALSE)</f>
        <v>#N/A</v>
      </c>
      <c r="L520" s="1">
        <f>IF(ISNA(VLOOKUP(A520,'Leghe Fantacalcio'!A:I,2,FALSE)),"",VLOOKUP(A520,'Leghe Fantacalcio'!A:I,2,FALSE))</f>
        <v>6680</v>
      </c>
      <c r="M520" s="1" t="str">
        <f>IF(ISNA(VLOOKUP(B520,'Leghe Fantacalcio'!A:I,2,FALSE)),"",VLOOKUP(B520,'Leghe Fantacalcio'!A:I,2,FALSE))</f>
        <v/>
      </c>
      <c r="N520" s="1">
        <f t="shared" si="34"/>
        <v>6680</v>
      </c>
      <c r="O520" s="1">
        <f>IFERROR(VLOOKUP(N520,'Leghe Fantacalcio'!B:I,8,FALSE),0)</f>
        <v>20</v>
      </c>
      <c r="P520" s="1" t="str">
        <f t="shared" si="35"/>
        <v>update giocatori set fvm = 20 where id = 1095556;</v>
      </c>
    </row>
    <row r="521" spans="1:16" x14ac:dyDescent="0.25">
      <c r="A521" s="1" t="str">
        <f t="shared" si="32"/>
        <v>LovricUdinese</v>
      </c>
      <c r="B521" s="1" t="str">
        <f t="shared" si="33"/>
        <v>Lovric S.Udinese</v>
      </c>
      <c r="C521" s="1">
        <v>1052556</v>
      </c>
      <c r="D521" s="1" t="s">
        <v>477</v>
      </c>
      <c r="E521" s="1" t="s">
        <v>580</v>
      </c>
      <c r="F521" s="1" t="s">
        <v>36</v>
      </c>
      <c r="G521" s="1" t="s">
        <v>283</v>
      </c>
      <c r="H521" s="1">
        <v>6</v>
      </c>
      <c r="I521" s="1">
        <v>8</v>
      </c>
      <c r="J521" s="1" t="str">
        <f>VLOOKUP(A521,'Leghe Fantacalcio'!A:I,1,FALSE)</f>
        <v>LovricUdinese</v>
      </c>
      <c r="K521" s="1" t="e">
        <f>VLOOKUP(B521,'Leghe Fantacalcio'!A:I,1,FALSE)</f>
        <v>#N/A</v>
      </c>
      <c r="L521" s="1">
        <f>IF(ISNA(VLOOKUP(A521,'Leghe Fantacalcio'!A:I,2,FALSE)),"",VLOOKUP(A521,'Leghe Fantacalcio'!A:I,2,FALSE))</f>
        <v>5850</v>
      </c>
      <c r="M521" s="1" t="str">
        <f>IF(ISNA(VLOOKUP(B521,'Leghe Fantacalcio'!A:I,2,FALSE)),"",VLOOKUP(B521,'Leghe Fantacalcio'!A:I,2,FALSE))</f>
        <v/>
      </c>
      <c r="N521" s="1">
        <f t="shared" si="34"/>
        <v>5850</v>
      </c>
      <c r="O521" s="1">
        <f>IFERROR(VLOOKUP(N521,'Leghe Fantacalcio'!B:I,8,FALSE),0)</f>
        <v>1</v>
      </c>
      <c r="P521" s="1" t="str">
        <f t="shared" si="35"/>
        <v>update giocatori set fvm = 1 where id = 1052556;</v>
      </c>
    </row>
    <row r="522" spans="1:16" x14ac:dyDescent="0.25">
      <c r="A522" s="1" t="str">
        <f t="shared" si="32"/>
        <v>MillerUdinese</v>
      </c>
      <c r="B522" s="1" t="str">
        <f t="shared" si="33"/>
        <v>Miller L.Udinese</v>
      </c>
      <c r="C522" s="1">
        <v>1120119</v>
      </c>
      <c r="D522" s="1" t="s">
        <v>655</v>
      </c>
      <c r="E522" s="1" t="s">
        <v>590</v>
      </c>
      <c r="F522" s="1" t="s">
        <v>36</v>
      </c>
      <c r="G522" s="1" t="s">
        <v>283</v>
      </c>
      <c r="H522" s="1">
        <v>6</v>
      </c>
      <c r="I522" s="1">
        <v>10</v>
      </c>
      <c r="J522" s="1" t="e">
        <f>VLOOKUP(A522,'Leghe Fantacalcio'!A:I,1,FALSE)</f>
        <v>#N/A</v>
      </c>
      <c r="K522" s="1" t="str">
        <f>VLOOKUP(B522,'Leghe Fantacalcio'!A:I,1,FALSE)</f>
        <v>Miller L.Udinese</v>
      </c>
      <c r="L522" s="1" t="str">
        <f>IF(ISNA(VLOOKUP(A522,'Leghe Fantacalcio'!A:I,2,FALSE)),"",VLOOKUP(A522,'Leghe Fantacalcio'!A:I,2,FALSE))</f>
        <v/>
      </c>
      <c r="M522" s="1">
        <f>IF(ISNA(VLOOKUP(B522,'Leghe Fantacalcio'!A:I,2,FALSE)),"",VLOOKUP(B522,'Leghe Fantacalcio'!A:I,2,FALSE))</f>
        <v>7208</v>
      </c>
      <c r="N522" s="1">
        <f t="shared" si="34"/>
        <v>7208</v>
      </c>
      <c r="O522" s="1">
        <f>IFERROR(VLOOKUP(N522,'Leghe Fantacalcio'!B:I,8,FALSE),0)</f>
        <v>12</v>
      </c>
      <c r="P522" s="1" t="str">
        <f t="shared" si="35"/>
        <v>update giocatori set fvm = 12 where id = 1120119;</v>
      </c>
    </row>
    <row r="523" spans="1:16" x14ac:dyDescent="0.25">
      <c r="A523" s="1" t="str">
        <f t="shared" si="32"/>
        <v>MrozekUdinese</v>
      </c>
      <c r="B523" s="1" t="str">
        <f t="shared" si="33"/>
        <v>Mrozek B.Udinese</v>
      </c>
      <c r="C523" s="1">
        <v>1066222</v>
      </c>
      <c r="D523" s="1" t="s">
        <v>89</v>
      </c>
      <c r="E523" s="1" t="s">
        <v>597</v>
      </c>
      <c r="F523" s="1" t="s">
        <v>36</v>
      </c>
      <c r="G523" s="1" t="s">
        <v>8</v>
      </c>
      <c r="H523" s="1">
        <v>6</v>
      </c>
      <c r="I523" s="1">
        <v>1</v>
      </c>
      <c r="J523" s="1" t="str">
        <f>VLOOKUP(A523,'Leghe Fantacalcio'!A:I,1,FALSE)</f>
        <v>MrozekUdinese</v>
      </c>
      <c r="K523" s="1" t="e">
        <f>VLOOKUP(B523,'Leghe Fantacalcio'!A:I,1,FALSE)</f>
        <v>#N/A</v>
      </c>
      <c r="L523" s="1">
        <f>IF(ISNA(VLOOKUP(A523,'Leghe Fantacalcio'!A:I,2,FALSE)),"",VLOOKUP(A523,'Leghe Fantacalcio'!A:I,2,FALSE))</f>
        <v>7611</v>
      </c>
      <c r="M523" s="1" t="str">
        <f>IF(ISNA(VLOOKUP(B523,'Leghe Fantacalcio'!A:I,2,FALSE)),"",VLOOKUP(B523,'Leghe Fantacalcio'!A:I,2,FALSE))</f>
        <v/>
      </c>
      <c r="N523" s="1">
        <f t="shared" si="34"/>
        <v>7611</v>
      </c>
      <c r="O523" s="1">
        <f>IFERROR(VLOOKUP(N523,'Leghe Fantacalcio'!B:I,8,FALSE),0)</f>
        <v>1</v>
      </c>
      <c r="P523" s="1" t="str">
        <f t="shared" si="35"/>
        <v>update giocatori set fvm = 1 where id = 1066222;</v>
      </c>
    </row>
    <row r="524" spans="1:16" ht="14.5" x14ac:dyDescent="0.35">
      <c r="A524" s="1" t="str">
        <f t="shared" si="32"/>
        <v>ZarragaUdinese</v>
      </c>
      <c r="B524" s="1" t="str">
        <f t="shared" si="33"/>
        <v>Zarraga Udinese</v>
      </c>
      <c r="C524" s="1">
        <v>1101863</v>
      </c>
      <c r="D524" t="s">
        <v>468</v>
      </c>
      <c r="E524" s="1" t="s">
        <v>579</v>
      </c>
      <c r="F524" s="1" t="s">
        <v>36</v>
      </c>
      <c r="G524" s="1" t="s">
        <v>283</v>
      </c>
      <c r="H524" s="1">
        <v>6</v>
      </c>
      <c r="I524" s="1">
        <v>11</v>
      </c>
      <c r="J524" s="1" t="str">
        <f>VLOOKUP(A524,'Leghe Fantacalcio'!A:I,1,FALSE)</f>
        <v>ZarragaUdinese</v>
      </c>
      <c r="K524" s="1" t="e">
        <f>VLOOKUP(B524,'Leghe Fantacalcio'!A:I,1,FALSE)</f>
        <v>#N/A</v>
      </c>
      <c r="L524" s="1">
        <f>IF(ISNA(VLOOKUP(A524,'Leghe Fantacalcio'!A:I,2,FALSE)),"",VLOOKUP(A524,'Leghe Fantacalcio'!A:I,2,FALSE))</f>
        <v>6212</v>
      </c>
      <c r="M524" s="1" t="str">
        <f>IF(ISNA(VLOOKUP(B524,'Leghe Fantacalcio'!A:I,2,FALSE)),"",VLOOKUP(B524,'Leghe Fantacalcio'!A:I,2,FALSE))</f>
        <v/>
      </c>
      <c r="N524" s="1">
        <f t="shared" si="34"/>
        <v>6212</v>
      </c>
      <c r="O524" s="1">
        <f>IFERROR(VLOOKUP(N524,'Leghe Fantacalcio'!B:I,8,FALSE),0)</f>
        <v>4</v>
      </c>
      <c r="P524" s="1" t="str">
        <f t="shared" si="35"/>
        <v>update giocatori set fvm = 4 where id = 1101863;</v>
      </c>
    </row>
    <row r="525" spans="1:16" x14ac:dyDescent="0.25">
      <c r="A525" s="1" t="str">
        <f t="shared" si="32"/>
        <v>OkoyeUdinese</v>
      </c>
      <c r="B525" s="1" t="str">
        <f t="shared" si="33"/>
        <v>Okoye M.Udinese</v>
      </c>
      <c r="C525" s="1">
        <v>1077144</v>
      </c>
      <c r="D525" s="1" t="s">
        <v>35</v>
      </c>
      <c r="E525" s="1" t="s">
        <v>572</v>
      </c>
      <c r="F525" s="1" t="s">
        <v>36</v>
      </c>
      <c r="G525" s="1" t="s">
        <v>8</v>
      </c>
      <c r="H525" s="1">
        <v>6</v>
      </c>
      <c r="I525" s="1">
        <v>9</v>
      </c>
      <c r="J525" s="1" t="str">
        <f>VLOOKUP(A525,'Leghe Fantacalcio'!A:I,1,FALSE)</f>
        <v>OkoyeUdinese</v>
      </c>
      <c r="K525" s="1" t="e">
        <f>VLOOKUP(B525,'Leghe Fantacalcio'!A:I,1,FALSE)</f>
        <v>#N/A</v>
      </c>
      <c r="L525" s="1">
        <f>IF(ISNA(VLOOKUP(A525,'Leghe Fantacalcio'!A:I,2,FALSE)),"",VLOOKUP(A525,'Leghe Fantacalcio'!A:I,2,FALSE))</f>
        <v>6462</v>
      </c>
      <c r="M525" s="1" t="str">
        <f>IF(ISNA(VLOOKUP(B525,'Leghe Fantacalcio'!A:I,2,FALSE)),"",VLOOKUP(B525,'Leghe Fantacalcio'!A:I,2,FALSE))</f>
        <v/>
      </c>
      <c r="N525" s="1">
        <f t="shared" si="34"/>
        <v>6462</v>
      </c>
      <c r="O525" s="1">
        <f>IFERROR(VLOOKUP(N525,'Leghe Fantacalcio'!B:I,8,FALSE),0)</f>
        <v>25</v>
      </c>
      <c r="P525" s="1" t="str">
        <f t="shared" si="35"/>
        <v>update giocatori set fvm = 25 where id = 1077144;</v>
      </c>
    </row>
    <row r="526" spans="1:16" x14ac:dyDescent="0.25">
      <c r="A526" s="1" t="str">
        <f t="shared" si="32"/>
        <v>PadelliUdinese</v>
      </c>
      <c r="B526" s="1" t="str">
        <f t="shared" si="33"/>
        <v>Padelli D.Udinese</v>
      </c>
      <c r="C526" s="1">
        <v>1017920</v>
      </c>
      <c r="D526" s="1" t="s">
        <v>79</v>
      </c>
      <c r="E526" s="1" t="s">
        <v>593</v>
      </c>
      <c r="F526" s="1" t="s">
        <v>36</v>
      </c>
      <c r="G526" s="1" t="s">
        <v>8</v>
      </c>
      <c r="H526" s="1">
        <v>6</v>
      </c>
      <c r="I526" s="1">
        <v>1</v>
      </c>
      <c r="J526" s="1" t="str">
        <f>VLOOKUP(A526,'Leghe Fantacalcio'!A:I,1,FALSE)</f>
        <v>PadelliUdinese</v>
      </c>
      <c r="K526" s="1" t="e">
        <f>VLOOKUP(B526,'Leghe Fantacalcio'!A:I,1,FALSE)</f>
        <v>#N/A</v>
      </c>
      <c r="L526" s="1">
        <f>IF(ISNA(VLOOKUP(A526,'Leghe Fantacalcio'!A:I,2,FALSE)),"",VLOOKUP(A526,'Leghe Fantacalcio'!A:I,2,FALSE))</f>
        <v>543</v>
      </c>
      <c r="M526" s="1" t="str">
        <f>IF(ISNA(VLOOKUP(B526,'Leghe Fantacalcio'!A:I,2,FALSE)),"",VLOOKUP(B526,'Leghe Fantacalcio'!A:I,2,FALSE))</f>
        <v/>
      </c>
      <c r="N526" s="1">
        <f t="shared" si="34"/>
        <v>543</v>
      </c>
      <c r="O526" s="1">
        <f>IFERROR(VLOOKUP(N526,'Leghe Fantacalcio'!B:I,8,FALSE),0)</f>
        <v>1</v>
      </c>
      <c r="P526" s="1" t="str">
        <f t="shared" si="35"/>
        <v>update giocatori set fvm = 1 where id = 1017920;</v>
      </c>
    </row>
    <row r="527" spans="1:16" x14ac:dyDescent="0.25">
      <c r="A527" s="1" t="str">
        <f t="shared" si="32"/>
        <v>PalmaUdinese</v>
      </c>
      <c r="B527" s="1" t="str">
        <f t="shared" si="33"/>
        <v>Palma M.Udinese</v>
      </c>
      <c r="C527" s="1">
        <v>1119561</v>
      </c>
      <c r="D527" s="1" t="s">
        <v>248</v>
      </c>
      <c r="E527" s="1" t="s">
        <v>572</v>
      </c>
      <c r="F527" s="1" t="s">
        <v>36</v>
      </c>
      <c r="G527" s="1" t="s">
        <v>92</v>
      </c>
      <c r="H527" s="1">
        <v>6</v>
      </c>
      <c r="I527" s="1">
        <v>1</v>
      </c>
      <c r="J527" s="1" t="str">
        <f>VLOOKUP(A527,'Leghe Fantacalcio'!A:I,1,FALSE)</f>
        <v>PalmaUdinese</v>
      </c>
      <c r="K527" s="1" t="e">
        <f>VLOOKUP(B527,'Leghe Fantacalcio'!A:I,1,FALSE)</f>
        <v>#N/A</v>
      </c>
      <c r="L527" s="1">
        <f>IF(ISNA(VLOOKUP(A527,'Leghe Fantacalcio'!A:I,2,FALSE)),"",VLOOKUP(A527,'Leghe Fantacalcio'!A:I,2,FALSE))</f>
        <v>6925</v>
      </c>
      <c r="M527" s="1" t="str">
        <f>IF(ISNA(VLOOKUP(B527,'Leghe Fantacalcio'!A:I,2,FALSE)),"",VLOOKUP(B527,'Leghe Fantacalcio'!A:I,2,FALSE))</f>
        <v/>
      </c>
      <c r="N527" s="1">
        <f t="shared" si="34"/>
        <v>6925</v>
      </c>
      <c r="O527" s="1">
        <f>IFERROR(VLOOKUP(N527,'Leghe Fantacalcio'!B:I,8,FALSE),0)</f>
        <v>8</v>
      </c>
      <c r="P527" s="1" t="str">
        <f t="shared" si="35"/>
        <v>update giocatori set fvm = 8 where id = 1119561;</v>
      </c>
    </row>
    <row r="528" spans="1:16" x14ac:dyDescent="0.25">
      <c r="A528" s="1" t="str">
        <f t="shared" si="32"/>
        <v>PiotrowskiUdinese</v>
      </c>
      <c r="B528" s="1" t="str">
        <f t="shared" si="33"/>
        <v>Piotrowski J.Udinese</v>
      </c>
      <c r="C528" s="1">
        <v>1068546</v>
      </c>
      <c r="D528" s="1" t="s">
        <v>388</v>
      </c>
      <c r="E528" s="1" t="s">
        <v>571</v>
      </c>
      <c r="F528" s="1" t="s">
        <v>36</v>
      </c>
      <c r="G528" s="1" t="s">
        <v>283</v>
      </c>
      <c r="H528" s="1">
        <v>6</v>
      </c>
      <c r="I528" s="1">
        <v>19</v>
      </c>
      <c r="J528" s="1" t="str">
        <f>VLOOKUP(A528,'Leghe Fantacalcio'!A:I,1,FALSE)</f>
        <v>PiotrowskiUdinese</v>
      </c>
      <c r="K528" s="1" t="e">
        <f>VLOOKUP(B528,'Leghe Fantacalcio'!A:I,1,FALSE)</f>
        <v>#N/A</v>
      </c>
      <c r="L528" s="1">
        <f>IF(ISNA(VLOOKUP(A528,'Leghe Fantacalcio'!A:I,2,FALSE)),"",VLOOKUP(A528,'Leghe Fantacalcio'!A:I,2,FALSE))</f>
        <v>7198</v>
      </c>
      <c r="M528" s="1" t="str">
        <f>IF(ISNA(VLOOKUP(B528,'Leghe Fantacalcio'!A:I,2,FALSE)),"",VLOOKUP(B528,'Leghe Fantacalcio'!A:I,2,FALSE))</f>
        <v/>
      </c>
      <c r="N528" s="1">
        <f t="shared" si="34"/>
        <v>7198</v>
      </c>
      <c r="O528" s="1">
        <f>IFERROR(VLOOKUP(N528,'Leghe Fantacalcio'!B:I,8,FALSE),0)</f>
        <v>12</v>
      </c>
      <c r="P528" s="1" t="str">
        <f t="shared" si="35"/>
        <v>update giocatori set fvm = 12 where id = 1068546;</v>
      </c>
    </row>
    <row r="529" spans="1:16" x14ac:dyDescent="0.25">
      <c r="A529" s="1" t="str">
        <f t="shared" si="32"/>
        <v>SoletUdinese</v>
      </c>
      <c r="B529" s="1" t="str">
        <f t="shared" si="33"/>
        <v>Solet O.Udinese</v>
      </c>
      <c r="C529" s="1">
        <v>1065752</v>
      </c>
      <c r="D529" s="1" t="s">
        <v>108</v>
      </c>
      <c r="E529" s="1" t="s">
        <v>577</v>
      </c>
      <c r="F529" s="1" t="s">
        <v>36</v>
      </c>
      <c r="G529" s="1" t="s">
        <v>92</v>
      </c>
      <c r="H529" s="1">
        <v>6</v>
      </c>
      <c r="I529" s="1">
        <v>15</v>
      </c>
      <c r="J529" s="1" t="str">
        <f>VLOOKUP(A529,'Leghe Fantacalcio'!A:I,1,FALSE)</f>
        <v>SoletUdinese</v>
      </c>
      <c r="K529" s="1" t="e">
        <f>VLOOKUP(B529,'Leghe Fantacalcio'!A:I,1,FALSE)</f>
        <v>#N/A</v>
      </c>
      <c r="L529" s="1">
        <f>IF(ISNA(VLOOKUP(A529,'Leghe Fantacalcio'!A:I,2,FALSE)),"",VLOOKUP(A529,'Leghe Fantacalcio'!A:I,2,FALSE))</f>
        <v>6956</v>
      </c>
      <c r="M529" s="1" t="str">
        <f>IF(ISNA(VLOOKUP(B529,'Leghe Fantacalcio'!A:I,2,FALSE)),"",VLOOKUP(B529,'Leghe Fantacalcio'!A:I,2,FALSE))</f>
        <v/>
      </c>
      <c r="N529" s="1">
        <f t="shared" si="34"/>
        <v>6956</v>
      </c>
      <c r="O529" s="1">
        <f>IFERROR(VLOOKUP(N529,'Leghe Fantacalcio'!B:I,8,FALSE),0)</f>
        <v>30</v>
      </c>
      <c r="P529" s="1" t="str">
        <f t="shared" si="35"/>
        <v>update giocatori set fvm = 30 where id = 1065752;</v>
      </c>
    </row>
    <row r="530" spans="1:16" x14ac:dyDescent="0.25">
      <c r="A530" s="1" t="str">
        <f t="shared" si="32"/>
        <v>Unai GomezUdinese</v>
      </c>
      <c r="B530" s="1" t="str">
        <f t="shared" si="33"/>
        <v>Unai Gomez Udinese</v>
      </c>
      <c r="C530" s="1">
        <v>1116835</v>
      </c>
      <c r="D530" s="1" t="s">
        <v>389</v>
      </c>
      <c r="E530" s="1" t="s">
        <v>579</v>
      </c>
      <c r="F530" s="1" t="s">
        <v>36</v>
      </c>
      <c r="G530" s="1" t="s">
        <v>283</v>
      </c>
      <c r="H530" s="1">
        <v>6</v>
      </c>
      <c r="I530" s="1">
        <v>14</v>
      </c>
      <c r="J530" s="1" t="str">
        <f>VLOOKUP(A530,'Leghe Fantacalcio'!A:I,1,FALSE)</f>
        <v>Unai GomezUdinese</v>
      </c>
      <c r="K530" s="1" t="e">
        <f>VLOOKUP(B530,'Leghe Fantacalcio'!A:I,1,FALSE)</f>
        <v>#N/A</v>
      </c>
      <c r="L530" s="1">
        <f>IF(ISNA(VLOOKUP(A530,'Leghe Fantacalcio'!A:I,2,FALSE)),"",VLOOKUP(A530,'Leghe Fantacalcio'!A:I,2,FALSE))</f>
        <v>6783</v>
      </c>
      <c r="M530" s="1" t="str">
        <f>IF(ISNA(VLOOKUP(B530,'Leghe Fantacalcio'!A:I,2,FALSE)),"",VLOOKUP(B530,'Leghe Fantacalcio'!A:I,2,FALSE))</f>
        <v/>
      </c>
      <c r="N530" s="1">
        <f t="shared" si="34"/>
        <v>6783</v>
      </c>
      <c r="O530" s="1">
        <f>IFERROR(VLOOKUP(N530,'Leghe Fantacalcio'!B:I,8,FALSE),0)</f>
        <v>13</v>
      </c>
      <c r="P530" s="1" t="str">
        <f t="shared" si="35"/>
        <v>update giocatori set fvm = 13 where id = 1116835;</v>
      </c>
    </row>
    <row r="531" spans="1:16" x14ac:dyDescent="0.25">
      <c r="A531" s="1" t="str">
        <f t="shared" si="32"/>
        <v>VinciatiUdinese</v>
      </c>
      <c r="B531" s="1" t="str">
        <f t="shared" si="33"/>
        <v>Vinciati G.Udinese</v>
      </c>
      <c r="C531" s="1">
        <v>1120613</v>
      </c>
      <c r="D531" s="1" t="s">
        <v>690</v>
      </c>
      <c r="E531" s="1" t="s">
        <v>575</v>
      </c>
      <c r="F531" s="1" t="s">
        <v>36</v>
      </c>
      <c r="G531" s="1" t="s">
        <v>478</v>
      </c>
      <c r="H531" s="1">
        <v>6</v>
      </c>
      <c r="I531" s="1">
        <v>1</v>
      </c>
      <c r="J531" s="1" t="e">
        <f>VLOOKUP(A531,'Leghe Fantacalcio'!A:I,1,FALSE)</f>
        <v>#N/A</v>
      </c>
      <c r="K531" s="1" t="e">
        <f>VLOOKUP(B531,'Leghe Fantacalcio'!A:I,1,FALSE)</f>
        <v>#N/A</v>
      </c>
      <c r="L531" s="1" t="str">
        <f>IF(ISNA(VLOOKUP(A531,'Leghe Fantacalcio'!A:I,2,FALSE)),"",VLOOKUP(A531,'Leghe Fantacalcio'!A:I,2,FALSE))</f>
        <v/>
      </c>
      <c r="M531" s="1" t="str">
        <f>IF(ISNA(VLOOKUP(B531,'Leghe Fantacalcio'!A:I,2,FALSE)),"",VLOOKUP(B531,'Leghe Fantacalcio'!A:I,2,FALSE))</f>
        <v/>
      </c>
      <c r="N531" s="1" t="str">
        <f t="shared" si="34"/>
        <v/>
      </c>
      <c r="O531" s="1">
        <f>IFERROR(VLOOKUP(N531,'Leghe Fantacalcio'!B:I,8,FALSE),0)</f>
        <v>0</v>
      </c>
      <c r="P531" s="1" t="str">
        <f t="shared" si="35"/>
        <v>update giocatori set fvm = 0 where id = 1120613;</v>
      </c>
    </row>
    <row r="532" spans="1:16" x14ac:dyDescent="0.25">
      <c r="A532" s="1" t="str">
        <f t="shared" si="32"/>
        <v>VojvodaUdinese</v>
      </c>
      <c r="B532" s="1" t="str">
        <f t="shared" si="33"/>
        <v>Vojvoda M.Udinese</v>
      </c>
      <c r="C532" s="1">
        <v>1071540</v>
      </c>
      <c r="D532" s="1" t="s">
        <v>141</v>
      </c>
      <c r="E532" s="1" t="s">
        <v>572</v>
      </c>
      <c r="F532" s="1" t="s">
        <v>36</v>
      </c>
      <c r="G532" s="1" t="s">
        <v>92</v>
      </c>
      <c r="H532" s="1">
        <v>6</v>
      </c>
      <c r="I532" s="1">
        <v>8</v>
      </c>
      <c r="J532" s="1" t="str">
        <f>VLOOKUP(A532,'Leghe Fantacalcio'!A:I,1,FALSE)</f>
        <v>VojvodaUdinese</v>
      </c>
      <c r="K532" s="1" t="e">
        <f>VLOOKUP(B532,'Leghe Fantacalcio'!A:I,1,FALSE)</f>
        <v>#N/A</v>
      </c>
      <c r="L532" s="1">
        <f>IF(ISNA(VLOOKUP(A532,'Leghe Fantacalcio'!A:I,2,FALSE)),"",VLOOKUP(A532,'Leghe Fantacalcio'!A:I,2,FALSE))</f>
        <v>4994</v>
      </c>
      <c r="M532" s="1" t="str">
        <f>IF(ISNA(VLOOKUP(B532,'Leghe Fantacalcio'!A:I,2,FALSE)),"",VLOOKUP(B532,'Leghe Fantacalcio'!A:I,2,FALSE))</f>
        <v/>
      </c>
      <c r="N532" s="1">
        <f t="shared" si="34"/>
        <v>4994</v>
      </c>
      <c r="O532" s="1">
        <f>IFERROR(VLOOKUP(N532,'Leghe Fantacalcio'!B:I,8,FALSE),0)</f>
        <v>18</v>
      </c>
      <c r="P532" s="1" t="str">
        <f t="shared" si="35"/>
        <v>update giocatori set fvm = 18 where id = 1071540;</v>
      </c>
    </row>
    <row r="533" spans="1:16" x14ac:dyDescent="0.25">
      <c r="A533" s="1" t="str">
        <f t="shared" si="32"/>
        <v>ZanioloUdinese</v>
      </c>
      <c r="B533" s="1" t="str">
        <f t="shared" si="33"/>
        <v>Zaniolo N.Udinese</v>
      </c>
      <c r="C533" s="1">
        <v>1061639</v>
      </c>
      <c r="D533" s="1" t="s">
        <v>296</v>
      </c>
      <c r="E533" s="1" t="s">
        <v>578</v>
      </c>
      <c r="F533" s="1" t="s">
        <v>36</v>
      </c>
      <c r="G533" s="1" t="s">
        <v>283</v>
      </c>
      <c r="H533" s="1">
        <v>6</v>
      </c>
      <c r="I533" s="1">
        <v>29</v>
      </c>
      <c r="J533" s="1" t="str">
        <f>VLOOKUP(A533,'Leghe Fantacalcio'!A:I,1,FALSE)</f>
        <v>ZanioloUdinese</v>
      </c>
      <c r="K533" s="1" t="e">
        <f>VLOOKUP(B533,'Leghe Fantacalcio'!A:I,1,FALSE)</f>
        <v>#N/A</v>
      </c>
      <c r="L533" s="1">
        <f>IF(ISNA(VLOOKUP(A533,'Leghe Fantacalcio'!A:I,2,FALSE)),"",VLOOKUP(A533,'Leghe Fantacalcio'!A:I,2,FALSE))</f>
        <v>2766</v>
      </c>
      <c r="M533" s="1" t="str">
        <f>IF(ISNA(VLOOKUP(B533,'Leghe Fantacalcio'!A:I,2,FALSE)),"",VLOOKUP(B533,'Leghe Fantacalcio'!A:I,2,FALSE))</f>
        <v/>
      </c>
      <c r="N533" s="1">
        <f t="shared" si="34"/>
        <v>2766</v>
      </c>
      <c r="O533" s="1">
        <f>IFERROR(VLOOKUP(N533,'Leghe Fantacalcio'!B:I,8,FALSE),0)</f>
        <v>71</v>
      </c>
      <c r="P533" s="1" t="str">
        <f t="shared" si="35"/>
        <v>update giocatori set fvm = 71 where id = 1061639;</v>
      </c>
    </row>
    <row r="534" spans="1:16" x14ac:dyDescent="0.25">
      <c r="A534" s="1" t="str">
        <f t="shared" si="32"/>
        <v>ZanoliUdinese</v>
      </c>
      <c r="B534" s="1" t="str">
        <f t="shared" si="33"/>
        <v>Zanoli A.Udinese</v>
      </c>
      <c r="C534" s="1">
        <v>1110713</v>
      </c>
      <c r="D534" s="1" t="s">
        <v>195</v>
      </c>
      <c r="E534" s="1" t="s">
        <v>584</v>
      </c>
      <c r="F534" s="1" t="s">
        <v>36</v>
      </c>
      <c r="G534" s="1" t="s">
        <v>92</v>
      </c>
      <c r="H534" s="1">
        <v>6</v>
      </c>
      <c r="I534" s="1">
        <v>3</v>
      </c>
      <c r="J534" s="1" t="str">
        <f>VLOOKUP(A534,'Leghe Fantacalcio'!A:I,1,FALSE)</f>
        <v>ZanoliUdinese</v>
      </c>
      <c r="K534" s="1" t="e">
        <f>VLOOKUP(B534,'Leghe Fantacalcio'!A:I,1,FALSE)</f>
        <v>#N/A</v>
      </c>
      <c r="L534" s="1">
        <f>IF(ISNA(VLOOKUP(A534,'Leghe Fantacalcio'!A:I,2,FALSE)),"",VLOOKUP(A534,'Leghe Fantacalcio'!A:I,2,FALSE))</f>
        <v>5527</v>
      </c>
      <c r="M534" s="1" t="str">
        <f>IF(ISNA(VLOOKUP(B534,'Leghe Fantacalcio'!A:I,2,FALSE)),"",VLOOKUP(B534,'Leghe Fantacalcio'!A:I,2,FALSE))</f>
        <v/>
      </c>
      <c r="N534" s="1">
        <f t="shared" si="34"/>
        <v>5527</v>
      </c>
      <c r="O534" s="1">
        <f>IFERROR(VLOOKUP(N534,'Leghe Fantacalcio'!B:I,8,FALSE),0)</f>
        <v>10</v>
      </c>
      <c r="P534" s="1" t="str">
        <f t="shared" si="35"/>
        <v>update giocatori set fvm = 10 where id = 1110713;</v>
      </c>
    </row>
    <row r="535" spans="1:16" x14ac:dyDescent="0.25">
      <c r="A535" s="1" t="str">
        <f t="shared" si="32"/>
        <v>AdamsVenezia</v>
      </c>
      <c r="B535" s="1" t="str">
        <f t="shared" si="33"/>
        <v>Adams A.Venezia</v>
      </c>
      <c r="C535" s="1">
        <v>1118061</v>
      </c>
      <c r="D535" s="1" t="s">
        <v>667</v>
      </c>
      <c r="E535" s="1" t="s">
        <v>584</v>
      </c>
      <c r="F535" s="1" t="s">
        <v>48</v>
      </c>
      <c r="G535" s="1" t="s">
        <v>478</v>
      </c>
      <c r="H535" s="1">
        <v>6</v>
      </c>
      <c r="I535" s="1">
        <v>16</v>
      </c>
      <c r="J535" s="1" t="e">
        <f>VLOOKUP(A535,'Leghe Fantacalcio'!A:I,1,FALSE)</f>
        <v>#N/A</v>
      </c>
      <c r="K535" s="1" t="str">
        <f>VLOOKUP(B535,'Leghe Fantacalcio'!A:I,1,FALSE)</f>
        <v>Adams A.Venezia</v>
      </c>
      <c r="L535" s="1" t="str">
        <f>IF(ISNA(VLOOKUP(A535,'Leghe Fantacalcio'!A:I,2,FALSE)),"",VLOOKUP(A535,'Leghe Fantacalcio'!A:I,2,FALSE))</f>
        <v/>
      </c>
      <c r="M535" s="1">
        <f>IF(ISNA(VLOOKUP(B535,'Leghe Fantacalcio'!A:I,2,FALSE)),"",VLOOKUP(B535,'Leghe Fantacalcio'!A:I,2,FALSE))</f>
        <v>7484</v>
      </c>
      <c r="N535" s="1">
        <f t="shared" si="34"/>
        <v>7484</v>
      </c>
      <c r="O535" s="1">
        <f>IFERROR(VLOOKUP(N535,'Leghe Fantacalcio'!B:I,8,FALSE),0)</f>
        <v>33</v>
      </c>
      <c r="P535" s="1" t="str">
        <f t="shared" si="35"/>
        <v>update giocatori set fvm = 33 where id = 1118061;</v>
      </c>
    </row>
    <row r="536" spans="1:16" x14ac:dyDescent="0.25">
      <c r="A536" s="1" t="str">
        <f t="shared" si="32"/>
        <v>AdoranteVenezia</v>
      </c>
      <c r="B536" s="1" t="str">
        <f t="shared" si="33"/>
        <v>Adorante A.Venezia</v>
      </c>
      <c r="C536" s="1">
        <v>1070821</v>
      </c>
      <c r="D536" s="1" t="s">
        <v>549</v>
      </c>
      <c r="E536" s="1" t="s">
        <v>584</v>
      </c>
      <c r="F536" s="1" t="s">
        <v>48</v>
      </c>
      <c r="G536" s="1" t="s">
        <v>478</v>
      </c>
      <c r="H536" s="1">
        <v>6</v>
      </c>
      <c r="I536" s="1">
        <v>14</v>
      </c>
      <c r="J536" s="1" t="str">
        <f>VLOOKUP(A536,'Leghe Fantacalcio'!A:I,1,FALSE)</f>
        <v>AdoranteVenezia</v>
      </c>
      <c r="K536" s="1" t="e">
        <f>VLOOKUP(B536,'Leghe Fantacalcio'!A:I,1,FALSE)</f>
        <v>#N/A</v>
      </c>
      <c r="L536" s="1">
        <f>IF(ISNA(VLOOKUP(A536,'Leghe Fantacalcio'!A:I,2,FALSE)),"",VLOOKUP(A536,'Leghe Fantacalcio'!A:I,2,FALSE))</f>
        <v>4387</v>
      </c>
      <c r="M536" s="1" t="str">
        <f>IF(ISNA(VLOOKUP(B536,'Leghe Fantacalcio'!A:I,2,FALSE)),"",VLOOKUP(B536,'Leghe Fantacalcio'!A:I,2,FALSE))</f>
        <v/>
      </c>
      <c r="N536" s="1">
        <f t="shared" si="34"/>
        <v>4387</v>
      </c>
      <c r="O536" s="1">
        <f>IFERROR(VLOOKUP(N536,'Leghe Fantacalcio'!B:I,8,FALSE),0)</f>
        <v>4</v>
      </c>
      <c r="P536" s="1" t="str">
        <f t="shared" si="35"/>
        <v>update giocatori set fvm = 4 where id = 1070821;</v>
      </c>
    </row>
    <row r="537" spans="1:16" x14ac:dyDescent="0.25">
      <c r="A537" s="1" t="str">
        <f t="shared" si="32"/>
        <v>Ale GomesVenezia</v>
      </c>
      <c r="B537" s="1" t="str">
        <f t="shared" si="33"/>
        <v>Ale Gomes Venezia</v>
      </c>
      <c r="C537" s="1">
        <v>1120513</v>
      </c>
      <c r="D537" s="1" t="s">
        <v>605</v>
      </c>
      <c r="E537" s="1" t="s">
        <v>579</v>
      </c>
      <c r="F537" s="1" t="s">
        <v>48</v>
      </c>
      <c r="G537" s="1" t="s">
        <v>92</v>
      </c>
      <c r="H537" s="1">
        <v>6</v>
      </c>
      <c r="I537" s="1">
        <v>1</v>
      </c>
      <c r="J537" s="1" t="e">
        <f>VLOOKUP(A537,'Leghe Fantacalcio'!A:I,1,FALSE)</f>
        <v>#N/A</v>
      </c>
      <c r="K537" s="1" t="e">
        <f>VLOOKUP(B537,'Leghe Fantacalcio'!A:I,1,FALSE)</f>
        <v>#N/A</v>
      </c>
      <c r="L537" s="1" t="str">
        <f>IF(ISNA(VLOOKUP(A537,'Leghe Fantacalcio'!A:I,2,FALSE)),"",VLOOKUP(A537,'Leghe Fantacalcio'!A:I,2,FALSE))</f>
        <v/>
      </c>
      <c r="M537" s="1" t="str">
        <f>IF(ISNA(VLOOKUP(B537,'Leghe Fantacalcio'!A:I,2,FALSE)),"",VLOOKUP(B537,'Leghe Fantacalcio'!A:I,2,FALSE))</f>
        <v/>
      </c>
      <c r="N537" s="1" t="str">
        <f t="shared" si="34"/>
        <v/>
      </c>
      <c r="O537" s="1">
        <f>IFERROR(VLOOKUP(N537,'Leghe Fantacalcio'!B:I,8,FALSE),0)</f>
        <v>0</v>
      </c>
      <c r="P537" s="1" t="str">
        <f t="shared" si="35"/>
        <v>update giocatori set fvm = 0 where id = 1120513;</v>
      </c>
    </row>
    <row r="538" spans="1:16" x14ac:dyDescent="0.25">
      <c r="A538" s="1" t="str">
        <f t="shared" si="32"/>
        <v>BasicVenezia</v>
      </c>
      <c r="B538" s="1" t="str">
        <f t="shared" si="33"/>
        <v>Basic T.Venezia</v>
      </c>
      <c r="C538" s="1">
        <v>1051334</v>
      </c>
      <c r="D538" s="1" t="s">
        <v>405</v>
      </c>
      <c r="E538" s="1" t="s">
        <v>599</v>
      </c>
      <c r="F538" s="1" t="s">
        <v>48</v>
      </c>
      <c r="G538" s="1" t="s">
        <v>283</v>
      </c>
      <c r="H538" s="1">
        <v>6</v>
      </c>
      <c r="I538" s="1">
        <v>14</v>
      </c>
      <c r="J538" s="1" t="str">
        <f>VLOOKUP(A538,'Leghe Fantacalcio'!A:I,1,FALSE)</f>
        <v>BasicVenezia</v>
      </c>
      <c r="K538" s="1" t="e">
        <f>VLOOKUP(B538,'Leghe Fantacalcio'!A:I,1,FALSE)</f>
        <v>#N/A</v>
      </c>
      <c r="L538" s="1">
        <f>IF(ISNA(VLOOKUP(A538,'Leghe Fantacalcio'!A:I,2,FALSE)),"",VLOOKUP(A538,'Leghe Fantacalcio'!A:I,2,FALSE))</f>
        <v>5674</v>
      </c>
      <c r="M538" s="1" t="str">
        <f>IF(ISNA(VLOOKUP(B538,'Leghe Fantacalcio'!A:I,2,FALSE)),"",VLOOKUP(B538,'Leghe Fantacalcio'!A:I,2,FALSE))</f>
        <v/>
      </c>
      <c r="N538" s="1">
        <f t="shared" si="34"/>
        <v>5674</v>
      </c>
      <c r="O538" s="1">
        <f>IFERROR(VLOOKUP(N538,'Leghe Fantacalcio'!B:I,8,FALSE),0)</f>
        <v>13</v>
      </c>
      <c r="P538" s="1" t="str">
        <f t="shared" si="35"/>
        <v>update giocatori set fvm = 13 where id = 1051334;</v>
      </c>
    </row>
    <row r="539" spans="1:16" x14ac:dyDescent="0.25">
      <c r="A539" s="1" t="str">
        <f t="shared" si="32"/>
        <v>Bella-KotchapVenezia</v>
      </c>
      <c r="B539" s="1" t="str">
        <f t="shared" si="33"/>
        <v>Bella-Kotchap A.Venezia</v>
      </c>
      <c r="C539" s="1">
        <v>1110366</v>
      </c>
      <c r="D539" s="1" t="s">
        <v>218</v>
      </c>
      <c r="E539" s="1" t="s">
        <v>584</v>
      </c>
      <c r="F539" s="1" t="s">
        <v>48</v>
      </c>
      <c r="G539" s="1" t="s">
        <v>92</v>
      </c>
      <c r="H539" s="1">
        <v>6</v>
      </c>
      <c r="I539" s="1">
        <v>4</v>
      </c>
      <c r="J539" s="1" t="str">
        <f>VLOOKUP(A539,'Leghe Fantacalcio'!A:I,1,FALSE)</f>
        <v>Bella-KotchapVenezia</v>
      </c>
      <c r="K539" s="1" t="e">
        <f>VLOOKUP(B539,'Leghe Fantacalcio'!A:I,1,FALSE)</f>
        <v>#N/A</v>
      </c>
      <c r="L539" s="1">
        <f>IF(ISNA(VLOOKUP(A539,'Leghe Fantacalcio'!A:I,2,FALSE)),"",VLOOKUP(A539,'Leghe Fantacalcio'!A:I,2,FALSE))</f>
        <v>7253</v>
      </c>
      <c r="M539" s="1" t="str">
        <f>IF(ISNA(VLOOKUP(B539,'Leghe Fantacalcio'!A:I,2,FALSE)),"",VLOOKUP(B539,'Leghe Fantacalcio'!A:I,2,FALSE))</f>
        <v/>
      </c>
      <c r="N539" s="1">
        <f t="shared" si="34"/>
        <v>7253</v>
      </c>
      <c r="O539" s="1">
        <f>IFERROR(VLOOKUP(N539,'Leghe Fantacalcio'!B:I,8,FALSE),0)</f>
        <v>11</v>
      </c>
      <c r="P539" s="1" t="str">
        <f t="shared" si="35"/>
        <v>update giocatori set fvm = 11 where id = 1110366;</v>
      </c>
    </row>
    <row r="540" spans="1:16" x14ac:dyDescent="0.25">
      <c r="A540" s="1" t="str">
        <f t="shared" si="32"/>
        <v>BerardiVenezia</v>
      </c>
      <c r="B540" s="1" t="str">
        <f t="shared" si="33"/>
        <v>Berardi L.Venezia</v>
      </c>
      <c r="C540" s="1">
        <v>1120518</v>
      </c>
      <c r="D540" s="1" t="s">
        <v>492</v>
      </c>
      <c r="E540" s="1" t="s">
        <v>590</v>
      </c>
      <c r="F540" s="1" t="s">
        <v>48</v>
      </c>
      <c r="G540" s="1" t="s">
        <v>283</v>
      </c>
      <c r="H540" s="1">
        <v>6</v>
      </c>
      <c r="I540" s="1">
        <v>1</v>
      </c>
      <c r="J540" s="1" t="e">
        <f>VLOOKUP(A540,'Leghe Fantacalcio'!A:I,1,FALSE)</f>
        <v>#N/A</v>
      </c>
      <c r="K540" s="1" t="e">
        <f>VLOOKUP(B540,'Leghe Fantacalcio'!A:I,1,FALSE)</f>
        <v>#N/A</v>
      </c>
      <c r="L540" s="1" t="str">
        <f>IF(ISNA(VLOOKUP(A540,'Leghe Fantacalcio'!A:I,2,FALSE)),"",VLOOKUP(A540,'Leghe Fantacalcio'!A:I,2,FALSE))</f>
        <v/>
      </c>
      <c r="M540" s="1" t="str">
        <f>IF(ISNA(VLOOKUP(B540,'Leghe Fantacalcio'!A:I,2,FALSE)),"",VLOOKUP(B540,'Leghe Fantacalcio'!A:I,2,FALSE))</f>
        <v/>
      </c>
      <c r="N540" s="1" t="str">
        <f t="shared" si="34"/>
        <v/>
      </c>
      <c r="O540" s="1">
        <f>IFERROR(VLOOKUP(N540,'Leghe Fantacalcio'!B:I,8,FALSE),0)</f>
        <v>0</v>
      </c>
      <c r="P540" s="1" t="str">
        <f t="shared" si="35"/>
        <v>update giocatori set fvm = 0 where id = 1120518;</v>
      </c>
    </row>
    <row r="541" spans="1:16" x14ac:dyDescent="0.25">
      <c r="A541" s="1" t="str">
        <f t="shared" si="32"/>
        <v>BusioVenezia</v>
      </c>
      <c r="B541" s="1" t="str">
        <f t="shared" si="33"/>
        <v>Busio G.Venezia</v>
      </c>
      <c r="C541" s="1">
        <v>1077814</v>
      </c>
      <c r="D541" s="1" t="s">
        <v>371</v>
      </c>
      <c r="E541" s="1" t="s">
        <v>575</v>
      </c>
      <c r="F541" s="1" t="s">
        <v>48</v>
      </c>
      <c r="G541" s="1" t="s">
        <v>283</v>
      </c>
      <c r="H541" s="1">
        <v>6</v>
      </c>
      <c r="I541" s="1">
        <v>15</v>
      </c>
      <c r="J541" s="1" t="str">
        <f>VLOOKUP(A541,'Leghe Fantacalcio'!A:I,1,FALSE)</f>
        <v>BusioVenezia</v>
      </c>
      <c r="K541" s="1" t="e">
        <f>VLOOKUP(B541,'Leghe Fantacalcio'!A:I,1,FALSE)</f>
        <v>#N/A</v>
      </c>
      <c r="L541" s="1">
        <f>IF(ISNA(VLOOKUP(A541,'Leghe Fantacalcio'!A:I,2,FALSE)),"",VLOOKUP(A541,'Leghe Fantacalcio'!A:I,2,FALSE))</f>
        <v>5507</v>
      </c>
      <c r="M541" s="1" t="str">
        <f>IF(ISNA(VLOOKUP(B541,'Leghe Fantacalcio'!A:I,2,FALSE)),"",VLOOKUP(B541,'Leghe Fantacalcio'!A:I,2,FALSE))</f>
        <v/>
      </c>
      <c r="N541" s="1">
        <f t="shared" si="34"/>
        <v>5507</v>
      </c>
      <c r="O541" s="1">
        <f>IFERROR(VLOOKUP(N541,'Leghe Fantacalcio'!B:I,8,FALSE),0)</f>
        <v>14</v>
      </c>
      <c r="P541" s="1" t="str">
        <f t="shared" si="35"/>
        <v>update giocatori set fvm = 14 where id = 1077814;</v>
      </c>
    </row>
    <row r="542" spans="1:16" x14ac:dyDescent="0.25">
      <c r="A542" s="1" t="str">
        <f t="shared" si="32"/>
        <v>DagassoVenezia</v>
      </c>
      <c r="B542" s="1" t="str">
        <f t="shared" si="33"/>
        <v>Dagasso M.Venezia</v>
      </c>
      <c r="C542" s="1">
        <v>1120516</v>
      </c>
      <c r="D542" s="1" t="s">
        <v>469</v>
      </c>
      <c r="E542" s="1" t="s">
        <v>572</v>
      </c>
      <c r="F542" s="1" t="s">
        <v>48</v>
      </c>
      <c r="G542" s="1" t="s">
        <v>283</v>
      </c>
      <c r="H542" s="1">
        <v>6</v>
      </c>
      <c r="I542" s="1">
        <v>3</v>
      </c>
      <c r="J542" s="1" t="str">
        <f>VLOOKUP(A542,'Leghe Fantacalcio'!A:I,1,FALSE)</f>
        <v>DagassoVenezia</v>
      </c>
      <c r="K542" s="1" t="e">
        <f>VLOOKUP(B542,'Leghe Fantacalcio'!A:I,1,FALSE)</f>
        <v>#N/A</v>
      </c>
      <c r="L542" s="1">
        <f>IF(ISNA(VLOOKUP(A542,'Leghe Fantacalcio'!A:I,2,FALSE)),"",VLOOKUP(A542,'Leghe Fantacalcio'!A:I,2,FALSE))</f>
        <v>7481</v>
      </c>
      <c r="M542" s="1" t="str">
        <f>IF(ISNA(VLOOKUP(B542,'Leghe Fantacalcio'!A:I,2,FALSE)),"",VLOOKUP(B542,'Leghe Fantacalcio'!A:I,2,FALSE))</f>
        <v/>
      </c>
      <c r="N542" s="1">
        <f t="shared" si="34"/>
        <v>7481</v>
      </c>
      <c r="O542" s="1">
        <f>IFERROR(VLOOKUP(N542,'Leghe Fantacalcio'!B:I,8,FALSE),0)</f>
        <v>1</v>
      </c>
      <c r="P542" s="1" t="str">
        <f t="shared" si="35"/>
        <v>update giocatori set fvm = 1 where id = 1120516;</v>
      </c>
    </row>
    <row r="543" spans="1:16" x14ac:dyDescent="0.25">
      <c r="A543" s="1" t="str">
        <f t="shared" si="32"/>
        <v>DuncanVenezia</v>
      </c>
      <c r="B543" s="1" t="str">
        <f t="shared" si="33"/>
        <v>Duncan A.Venezia</v>
      </c>
      <c r="C543" s="1">
        <v>1029295</v>
      </c>
      <c r="D543" s="1" t="s">
        <v>470</v>
      </c>
      <c r="E543" s="1" t="s">
        <v>584</v>
      </c>
      <c r="F543" s="1" t="s">
        <v>48</v>
      </c>
      <c r="G543" s="1" t="s">
        <v>283</v>
      </c>
      <c r="H543" s="1">
        <v>6</v>
      </c>
      <c r="I543" s="1">
        <v>6</v>
      </c>
      <c r="J543" s="1" t="str">
        <f>VLOOKUP(A543,'Leghe Fantacalcio'!A:I,1,FALSE)</f>
        <v>DuncanVenezia</v>
      </c>
      <c r="K543" s="1" t="e">
        <f>VLOOKUP(B543,'Leghe Fantacalcio'!A:I,1,FALSE)</f>
        <v>#N/A</v>
      </c>
      <c r="L543" s="1">
        <f>IF(ISNA(VLOOKUP(A543,'Leghe Fantacalcio'!A:I,2,FALSE)),"",VLOOKUP(A543,'Leghe Fantacalcio'!A:I,2,FALSE))</f>
        <v>526</v>
      </c>
      <c r="M543" s="1" t="str">
        <f>IF(ISNA(VLOOKUP(B543,'Leghe Fantacalcio'!A:I,2,FALSE)),"",VLOOKUP(B543,'Leghe Fantacalcio'!A:I,2,FALSE))</f>
        <v/>
      </c>
      <c r="N543" s="1">
        <f t="shared" si="34"/>
        <v>526</v>
      </c>
      <c r="O543" s="1">
        <f>IFERROR(VLOOKUP(N543,'Leghe Fantacalcio'!B:I,8,FALSE),0)</f>
        <v>4</v>
      </c>
      <c r="P543" s="1" t="str">
        <f t="shared" si="35"/>
        <v>update giocatori set fvm = 4 where id = 1029295;</v>
      </c>
    </row>
    <row r="544" spans="1:16" x14ac:dyDescent="0.25">
      <c r="A544" s="1" t="str">
        <f t="shared" si="32"/>
        <v>FranjicVenezia</v>
      </c>
      <c r="B544" s="1" t="str">
        <f t="shared" si="33"/>
        <v>Franjic B.Venezia</v>
      </c>
      <c r="C544" s="1">
        <v>1095957</v>
      </c>
      <c r="D544" s="1" t="s">
        <v>252</v>
      </c>
      <c r="E544" s="1" t="s">
        <v>597</v>
      </c>
      <c r="F544" s="1" t="s">
        <v>48</v>
      </c>
      <c r="G544" s="1" t="s">
        <v>92</v>
      </c>
      <c r="H544" s="1">
        <v>6</v>
      </c>
      <c r="I544" s="1">
        <v>4</v>
      </c>
      <c r="J544" s="1" t="str">
        <f>VLOOKUP(A544,'Leghe Fantacalcio'!A:I,1,FALSE)</f>
        <v>FranjicVenezia</v>
      </c>
      <c r="K544" s="1" t="e">
        <f>VLOOKUP(B544,'Leghe Fantacalcio'!A:I,1,FALSE)</f>
        <v>#N/A</v>
      </c>
      <c r="L544" s="1">
        <f>IF(ISNA(VLOOKUP(A544,'Leghe Fantacalcio'!A:I,2,FALSE)),"",VLOOKUP(A544,'Leghe Fantacalcio'!A:I,2,FALSE))</f>
        <v>7478</v>
      </c>
      <c r="M544" s="1" t="str">
        <f>IF(ISNA(VLOOKUP(B544,'Leghe Fantacalcio'!A:I,2,FALSE)),"",VLOOKUP(B544,'Leghe Fantacalcio'!A:I,2,FALSE))</f>
        <v/>
      </c>
      <c r="N544" s="1">
        <f t="shared" si="34"/>
        <v>7478</v>
      </c>
      <c r="O544" s="1">
        <f>IFERROR(VLOOKUP(N544,'Leghe Fantacalcio'!B:I,8,FALSE),0)</f>
        <v>6</v>
      </c>
      <c r="P544" s="1" t="str">
        <f t="shared" si="35"/>
        <v>update giocatori set fvm = 6 where id = 1095957;</v>
      </c>
    </row>
    <row r="545" spans="1:16" x14ac:dyDescent="0.25">
      <c r="A545" s="1" t="str">
        <f t="shared" si="32"/>
        <v>GrandiVenezia</v>
      </c>
      <c r="B545" s="1" t="str">
        <f t="shared" si="33"/>
        <v>Grandi M.Venezia</v>
      </c>
      <c r="C545" s="1">
        <v>1100797</v>
      </c>
      <c r="D545" s="1" t="s">
        <v>80</v>
      </c>
      <c r="E545" s="1" t="s">
        <v>572</v>
      </c>
      <c r="F545" s="1" t="s">
        <v>48</v>
      </c>
      <c r="G545" s="1" t="s">
        <v>8</v>
      </c>
      <c r="H545" s="1">
        <v>6</v>
      </c>
      <c r="I545" s="1">
        <v>1</v>
      </c>
      <c r="J545" s="1" t="str">
        <f>VLOOKUP(A545,'Leghe Fantacalcio'!A:I,1,FALSE)</f>
        <v>GrandiVenezia</v>
      </c>
      <c r="K545" s="1" t="e">
        <f>VLOOKUP(B545,'Leghe Fantacalcio'!A:I,1,FALSE)</f>
        <v>#N/A</v>
      </c>
      <c r="L545" s="1">
        <f>IF(ISNA(VLOOKUP(A545,'Leghe Fantacalcio'!A:I,2,FALSE)),"",VLOOKUP(A545,'Leghe Fantacalcio'!A:I,2,FALSE))</f>
        <v>6671</v>
      </c>
      <c r="M545" s="1" t="str">
        <f>IF(ISNA(VLOOKUP(B545,'Leghe Fantacalcio'!A:I,2,FALSE)),"",VLOOKUP(B545,'Leghe Fantacalcio'!A:I,2,FALSE))</f>
        <v/>
      </c>
      <c r="N545" s="1">
        <f t="shared" si="34"/>
        <v>6671</v>
      </c>
      <c r="O545" s="1">
        <f>IFERROR(VLOOKUP(N545,'Leghe Fantacalcio'!B:I,8,FALSE),0)</f>
        <v>1</v>
      </c>
      <c r="P545" s="1" t="str">
        <f t="shared" si="35"/>
        <v>update giocatori set fvm = 1 where id = 1100797;</v>
      </c>
    </row>
    <row r="546" spans="1:16" x14ac:dyDescent="0.25">
      <c r="A546" s="1" t="str">
        <f t="shared" si="32"/>
        <v>HainautVenezia</v>
      </c>
      <c r="B546" s="1" t="str">
        <f t="shared" si="33"/>
        <v>Hainaut A.Venezia</v>
      </c>
      <c r="C546" s="1">
        <v>1115181</v>
      </c>
      <c r="D546" s="1" t="s">
        <v>142</v>
      </c>
      <c r="E546" s="1" t="s">
        <v>584</v>
      </c>
      <c r="F546" s="1" t="s">
        <v>48</v>
      </c>
      <c r="G546" s="1" t="s">
        <v>283</v>
      </c>
      <c r="H546" s="1">
        <v>6</v>
      </c>
      <c r="I546" s="1">
        <v>16</v>
      </c>
      <c r="J546" s="1" t="str">
        <f>VLOOKUP(A546,'Leghe Fantacalcio'!A:I,1,FALSE)</f>
        <v>HainautVenezia</v>
      </c>
      <c r="K546" s="1" t="e">
        <f>VLOOKUP(B546,'Leghe Fantacalcio'!A:I,1,FALSE)</f>
        <v>#N/A</v>
      </c>
      <c r="L546" s="1">
        <f>IF(ISNA(VLOOKUP(A546,'Leghe Fantacalcio'!A:I,2,FALSE)),"",VLOOKUP(A546,'Leghe Fantacalcio'!A:I,2,FALSE))</f>
        <v>6821</v>
      </c>
      <c r="M546" s="1" t="str">
        <f>IF(ISNA(VLOOKUP(B546,'Leghe Fantacalcio'!A:I,2,FALSE)),"",VLOOKUP(B546,'Leghe Fantacalcio'!A:I,2,FALSE))</f>
        <v/>
      </c>
      <c r="N546" s="1">
        <f t="shared" si="34"/>
        <v>6821</v>
      </c>
      <c r="O546" s="1">
        <f>IFERROR(VLOOKUP(N546,'Leghe Fantacalcio'!B:I,8,FALSE),0)</f>
        <v>12</v>
      </c>
      <c r="P546" s="1" t="str">
        <f t="shared" si="35"/>
        <v>update giocatori set fvm = 12 where id = 1115181;</v>
      </c>
    </row>
    <row r="547" spans="1:16" x14ac:dyDescent="0.25">
      <c r="A547" s="1" t="str">
        <f t="shared" si="32"/>
        <v>HalhalVenezia</v>
      </c>
      <c r="B547" s="1" t="str">
        <f t="shared" si="33"/>
        <v>Halhal R.Venezia</v>
      </c>
      <c r="C547" s="1">
        <v>1111487</v>
      </c>
      <c r="D547" s="1" t="s">
        <v>249</v>
      </c>
      <c r="E547" s="1" t="s">
        <v>581</v>
      </c>
      <c r="F547" s="1" t="s">
        <v>48</v>
      </c>
      <c r="G547" s="1" t="s">
        <v>92</v>
      </c>
      <c r="H547" s="1">
        <v>6</v>
      </c>
      <c r="I547" s="1">
        <v>4</v>
      </c>
      <c r="J547" s="1" t="str">
        <f>VLOOKUP(A547,'Leghe Fantacalcio'!A:I,1,FALSE)</f>
        <v>HalhalVenezia</v>
      </c>
      <c r="K547" s="1" t="e">
        <f>VLOOKUP(B547,'Leghe Fantacalcio'!A:I,1,FALSE)</f>
        <v>#N/A</v>
      </c>
      <c r="L547" s="1">
        <f>IF(ISNA(VLOOKUP(A547,'Leghe Fantacalcio'!A:I,2,FALSE)),"",VLOOKUP(A547,'Leghe Fantacalcio'!A:I,2,FALSE))</f>
        <v>7538</v>
      </c>
      <c r="M547" s="1" t="str">
        <f>IF(ISNA(VLOOKUP(B547,'Leghe Fantacalcio'!A:I,2,FALSE)),"",VLOOKUP(B547,'Leghe Fantacalcio'!A:I,2,FALSE))</f>
        <v/>
      </c>
      <c r="N547" s="1">
        <f t="shared" si="34"/>
        <v>7538</v>
      </c>
      <c r="O547" s="1">
        <f>IFERROR(VLOOKUP(N547,'Leghe Fantacalcio'!B:I,8,FALSE),0)</f>
        <v>7</v>
      </c>
      <c r="P547" s="1" t="str">
        <f t="shared" si="35"/>
        <v>update giocatori set fvm = 7 where id = 1111487;</v>
      </c>
    </row>
    <row r="548" spans="1:16" x14ac:dyDescent="0.25">
      <c r="A548" s="1" t="str">
        <f t="shared" si="32"/>
        <v>HapsVenezia</v>
      </c>
      <c r="B548" s="1" t="str">
        <f t="shared" si="33"/>
        <v>Haps R.Venezia</v>
      </c>
      <c r="C548" s="1">
        <v>1038177</v>
      </c>
      <c r="D548" s="1" t="s">
        <v>196</v>
      </c>
      <c r="E548" s="1" t="s">
        <v>581</v>
      </c>
      <c r="F548" s="1" t="s">
        <v>48</v>
      </c>
      <c r="G548" s="1" t="s">
        <v>92</v>
      </c>
      <c r="H548" s="1">
        <v>6</v>
      </c>
      <c r="I548" s="1">
        <v>8</v>
      </c>
      <c r="J548" s="1" t="str">
        <f>VLOOKUP(A548,'Leghe Fantacalcio'!A:I,1,FALSE)</f>
        <v>HapsVenezia</v>
      </c>
      <c r="K548" s="1" t="e">
        <f>VLOOKUP(B548,'Leghe Fantacalcio'!A:I,1,FALSE)</f>
        <v>#N/A</v>
      </c>
      <c r="L548" s="1">
        <f>IF(ISNA(VLOOKUP(A548,'Leghe Fantacalcio'!A:I,2,FALSE)),"",VLOOKUP(A548,'Leghe Fantacalcio'!A:I,2,FALSE))</f>
        <v>5695</v>
      </c>
      <c r="M548" s="1" t="str">
        <f>IF(ISNA(VLOOKUP(B548,'Leghe Fantacalcio'!A:I,2,FALSE)),"",VLOOKUP(B548,'Leghe Fantacalcio'!A:I,2,FALSE))</f>
        <v/>
      </c>
      <c r="N548" s="1">
        <f t="shared" si="34"/>
        <v>5695</v>
      </c>
      <c r="O548" s="1">
        <f>IFERROR(VLOOKUP(N548,'Leghe Fantacalcio'!B:I,8,FALSE),0)</f>
        <v>9</v>
      </c>
      <c r="P548" s="1" t="str">
        <f t="shared" si="35"/>
        <v>update giocatori set fvm = 9 where id = 1038177;</v>
      </c>
    </row>
    <row r="549" spans="1:16" x14ac:dyDescent="0.25">
      <c r="A549" s="1" t="str">
        <f t="shared" si="32"/>
        <v>HelgasonVenezia</v>
      </c>
      <c r="B549" s="1" t="str">
        <f t="shared" si="33"/>
        <v>Helgason Þ.Venezia</v>
      </c>
      <c r="C549" s="1">
        <v>1097355</v>
      </c>
      <c r="D549" s="1" t="s">
        <v>455</v>
      </c>
      <c r="E549" s="1" t="s">
        <v>647</v>
      </c>
      <c r="F549" s="1" t="s">
        <v>48</v>
      </c>
      <c r="G549" s="1" t="s">
        <v>283</v>
      </c>
      <c r="H549" s="1">
        <v>6</v>
      </c>
      <c r="I549" s="1">
        <v>8</v>
      </c>
      <c r="J549" s="1" t="str">
        <f>VLOOKUP(A549,'Leghe Fantacalcio'!A:I,1,FALSE)</f>
        <v>HelgasonVenezia</v>
      </c>
      <c r="K549" s="1" t="e">
        <f>VLOOKUP(B549,'Leghe Fantacalcio'!A:I,1,FALSE)</f>
        <v>#N/A</v>
      </c>
      <c r="L549" s="1">
        <f>IF(ISNA(VLOOKUP(A549,'Leghe Fantacalcio'!A:I,2,FALSE)),"",VLOOKUP(A549,'Leghe Fantacalcio'!A:I,2,FALSE))</f>
        <v>5872</v>
      </c>
      <c r="M549" s="1" t="str">
        <f>IF(ISNA(VLOOKUP(B549,'Leghe Fantacalcio'!A:I,2,FALSE)),"",VLOOKUP(B549,'Leghe Fantacalcio'!A:I,2,FALSE))</f>
        <v/>
      </c>
      <c r="N549" s="1">
        <f t="shared" si="34"/>
        <v>5872</v>
      </c>
      <c r="O549" s="1">
        <f>IFERROR(VLOOKUP(N549,'Leghe Fantacalcio'!B:I,8,FALSE),0)</f>
        <v>3</v>
      </c>
      <c r="P549" s="1" t="str">
        <f t="shared" si="35"/>
        <v>update giocatori set fvm = 3 where id = 1097355;</v>
      </c>
    </row>
    <row r="550" spans="1:16" x14ac:dyDescent="0.25">
      <c r="A550" s="1" t="str">
        <f t="shared" si="32"/>
        <v>Juan JesusVenezia</v>
      </c>
      <c r="B550" s="1" t="str">
        <f t="shared" si="33"/>
        <v>Juan Jesus Venezia</v>
      </c>
      <c r="C550" s="1">
        <v>1017861</v>
      </c>
      <c r="D550" s="1" t="s">
        <v>221</v>
      </c>
      <c r="E550" s="1" t="s">
        <v>579</v>
      </c>
      <c r="F550" s="1" t="s">
        <v>48</v>
      </c>
      <c r="G550" s="1" t="s">
        <v>92</v>
      </c>
      <c r="H550" s="1">
        <v>6</v>
      </c>
      <c r="I550" s="1">
        <v>14</v>
      </c>
      <c r="J550" s="1" t="str">
        <f>VLOOKUP(A550,'Leghe Fantacalcio'!A:I,1,FALSE)</f>
        <v>Juan JesusVenezia</v>
      </c>
      <c r="K550" s="1" t="e">
        <f>VLOOKUP(B550,'Leghe Fantacalcio'!A:I,1,FALSE)</f>
        <v>#N/A</v>
      </c>
      <c r="L550" s="1">
        <f>IF(ISNA(VLOOKUP(A550,'Leghe Fantacalcio'!A:I,2,FALSE)),"",VLOOKUP(A550,'Leghe Fantacalcio'!A:I,2,FALSE))</f>
        <v>256</v>
      </c>
      <c r="M550" s="1" t="str">
        <f>IF(ISNA(VLOOKUP(B550,'Leghe Fantacalcio'!A:I,2,FALSE)),"",VLOOKUP(B550,'Leghe Fantacalcio'!A:I,2,FALSE))</f>
        <v/>
      </c>
      <c r="N550" s="1">
        <f t="shared" si="34"/>
        <v>256</v>
      </c>
      <c r="O550" s="1">
        <f>IFERROR(VLOOKUP(N550,'Leghe Fantacalcio'!B:I,8,FALSE),0)</f>
        <v>10</v>
      </c>
      <c r="P550" s="1" t="str">
        <f t="shared" si="35"/>
        <v>update giocatori set fvm = 10 where id = 1017861;</v>
      </c>
    </row>
    <row r="551" spans="1:16" ht="14.5" x14ac:dyDescent="0.35">
      <c r="A551" s="1" t="str">
        <f t="shared" si="32"/>
        <v>Perez K.Venezia</v>
      </c>
      <c r="B551" s="1" t="str">
        <f t="shared" si="33"/>
        <v>Perez K. Venezia</v>
      </c>
      <c r="C551" s="1">
        <v>1094761</v>
      </c>
      <c r="D551" t="s">
        <v>407</v>
      </c>
      <c r="E551" s="1" t="s">
        <v>579</v>
      </c>
      <c r="F551" s="1" t="s">
        <v>48</v>
      </c>
      <c r="G551" s="1" t="s">
        <v>283</v>
      </c>
      <c r="H551" s="1">
        <v>6</v>
      </c>
      <c r="I551" s="1">
        <v>14</v>
      </c>
      <c r="J551" s="1" t="str">
        <f>VLOOKUP(A551,'Leghe Fantacalcio'!A:I,1,FALSE)</f>
        <v>Perez K.Venezia</v>
      </c>
      <c r="K551" s="1" t="e">
        <f>VLOOKUP(B551,'Leghe Fantacalcio'!A:I,1,FALSE)</f>
        <v>#N/A</v>
      </c>
      <c r="L551" s="1">
        <f>IF(ISNA(VLOOKUP(A551,'Leghe Fantacalcio'!A:I,2,FALSE)),"",VLOOKUP(A551,'Leghe Fantacalcio'!A:I,2,FALSE))</f>
        <v>6994</v>
      </c>
      <c r="M551" s="1" t="str">
        <f>IF(ISNA(VLOOKUP(B551,'Leghe Fantacalcio'!A:I,2,FALSE)),"",VLOOKUP(B551,'Leghe Fantacalcio'!A:I,2,FALSE))</f>
        <v/>
      </c>
      <c r="N551" s="1">
        <f t="shared" si="34"/>
        <v>6994</v>
      </c>
      <c r="O551" s="1">
        <f>IFERROR(VLOOKUP(N551,'Leghe Fantacalcio'!B:I,8,FALSE),0)</f>
        <v>14</v>
      </c>
      <c r="P551" s="1" t="str">
        <f t="shared" si="35"/>
        <v>update giocatori set fvm = 14 where id = 1094761;</v>
      </c>
    </row>
    <row r="552" spans="1:16" x14ac:dyDescent="0.25">
      <c r="A552" s="1" t="str">
        <f t="shared" si="32"/>
        <v>Lamine FanneVenezia</v>
      </c>
      <c r="B552" s="1" t="str">
        <f t="shared" si="33"/>
        <v>Lamine Fanne Venezia</v>
      </c>
      <c r="C552" s="1">
        <v>1120514</v>
      </c>
      <c r="D552" s="1" t="s">
        <v>652</v>
      </c>
      <c r="E552" s="1" t="s">
        <v>579</v>
      </c>
      <c r="F552" s="1" t="s">
        <v>48</v>
      </c>
      <c r="G552" s="1" t="s">
        <v>283</v>
      </c>
      <c r="H552" s="1">
        <v>6</v>
      </c>
      <c r="I552" s="1">
        <v>2</v>
      </c>
      <c r="J552" s="1" t="e">
        <f>VLOOKUP(A552,'Leghe Fantacalcio'!A:I,1,FALSE)</f>
        <v>#N/A</v>
      </c>
      <c r="K552" s="1" t="e">
        <f>VLOOKUP(B552,'Leghe Fantacalcio'!A:I,1,FALSE)</f>
        <v>#N/A</v>
      </c>
      <c r="L552" s="1" t="str">
        <f>IF(ISNA(VLOOKUP(A552,'Leghe Fantacalcio'!A:I,2,FALSE)),"",VLOOKUP(A552,'Leghe Fantacalcio'!A:I,2,FALSE))</f>
        <v/>
      </c>
      <c r="M552" s="1" t="str">
        <f>IF(ISNA(VLOOKUP(B552,'Leghe Fantacalcio'!A:I,2,FALSE)),"",VLOOKUP(B552,'Leghe Fantacalcio'!A:I,2,FALSE))</f>
        <v/>
      </c>
      <c r="N552" s="1" t="str">
        <f t="shared" si="34"/>
        <v/>
      </c>
      <c r="O552" s="1">
        <f>IFERROR(VLOOKUP(N552,'Leghe Fantacalcio'!B:I,8,FALSE),0)</f>
        <v>0</v>
      </c>
      <c r="P552" s="1" t="str">
        <f t="shared" si="35"/>
        <v>update giocatori set fvm = 0 where id = 1120514;</v>
      </c>
    </row>
    <row r="553" spans="1:16" x14ac:dyDescent="0.25">
      <c r="A553" s="1" t="str">
        <f t="shared" si="32"/>
        <v>LauberbachVenezia</v>
      </c>
      <c r="B553" s="1" t="str">
        <f t="shared" si="33"/>
        <v>Lauberbach L.Venezia</v>
      </c>
      <c r="C553" s="1">
        <v>1120522</v>
      </c>
      <c r="D553" s="1" t="s">
        <v>559</v>
      </c>
      <c r="E553" s="1" t="s">
        <v>590</v>
      </c>
      <c r="F553" s="1" t="s">
        <v>48</v>
      </c>
      <c r="G553" s="1" t="s">
        <v>478</v>
      </c>
      <c r="H553" s="1">
        <v>6</v>
      </c>
      <c r="I553" s="1">
        <v>6</v>
      </c>
      <c r="J553" s="1" t="str">
        <f>VLOOKUP(A553,'Leghe Fantacalcio'!A:I,1,FALSE)</f>
        <v>LauberbachVenezia</v>
      </c>
      <c r="K553" s="1" t="e">
        <f>VLOOKUP(B553,'Leghe Fantacalcio'!A:I,1,FALSE)</f>
        <v>#N/A</v>
      </c>
      <c r="L553" s="1">
        <f>IF(ISNA(VLOOKUP(A553,'Leghe Fantacalcio'!A:I,2,FALSE)),"",VLOOKUP(A553,'Leghe Fantacalcio'!A:I,2,FALSE))</f>
        <v>7482</v>
      </c>
      <c r="M553" s="1" t="str">
        <f>IF(ISNA(VLOOKUP(B553,'Leghe Fantacalcio'!A:I,2,FALSE)),"",VLOOKUP(B553,'Leghe Fantacalcio'!A:I,2,FALSE))</f>
        <v/>
      </c>
      <c r="N553" s="1">
        <f t="shared" si="34"/>
        <v>7482</v>
      </c>
      <c r="O553" s="1">
        <f>IFERROR(VLOOKUP(N553,'Leghe Fantacalcio'!B:I,8,FALSE),0)</f>
        <v>1</v>
      </c>
      <c r="P553" s="1" t="str">
        <f t="shared" si="35"/>
        <v>update giocatori set fvm = 1 where id = 1120522;</v>
      </c>
    </row>
    <row r="554" spans="1:16" x14ac:dyDescent="0.25">
      <c r="A554" s="1" t="str">
        <f t="shared" si="32"/>
        <v>LismanVenezia</v>
      </c>
      <c r="B554" s="1" t="str">
        <f t="shared" si="33"/>
        <v>Lisman K.Venezia</v>
      </c>
      <c r="C554" s="1">
        <v>1120523</v>
      </c>
      <c r="D554" s="1" t="s">
        <v>562</v>
      </c>
      <c r="E554" s="1" t="s">
        <v>586</v>
      </c>
      <c r="F554" s="1" t="s">
        <v>48</v>
      </c>
      <c r="G554" s="1" t="s">
        <v>478</v>
      </c>
      <c r="H554" s="1">
        <v>6</v>
      </c>
      <c r="I554" s="1">
        <v>7</v>
      </c>
      <c r="J554" s="1" t="str">
        <f>VLOOKUP(A554,'Leghe Fantacalcio'!A:I,1,FALSE)</f>
        <v>LismanVenezia</v>
      </c>
      <c r="K554" s="1" t="e">
        <f>VLOOKUP(B554,'Leghe Fantacalcio'!A:I,1,FALSE)</f>
        <v>#N/A</v>
      </c>
      <c r="L554" s="1">
        <f>IF(ISNA(VLOOKUP(A554,'Leghe Fantacalcio'!A:I,2,FALSE)),"",VLOOKUP(A554,'Leghe Fantacalcio'!A:I,2,FALSE))</f>
        <v>7408</v>
      </c>
      <c r="M554" s="1" t="str">
        <f>IF(ISNA(VLOOKUP(B554,'Leghe Fantacalcio'!A:I,2,FALSE)),"",VLOOKUP(B554,'Leghe Fantacalcio'!A:I,2,FALSE))</f>
        <v/>
      </c>
      <c r="N554" s="1">
        <f t="shared" si="34"/>
        <v>7408</v>
      </c>
      <c r="O554" s="1">
        <f>IFERROR(VLOOKUP(N554,'Leghe Fantacalcio'!B:I,8,FALSE),0)</f>
        <v>1</v>
      </c>
      <c r="P554" s="1" t="str">
        <f t="shared" si="35"/>
        <v>update giocatori set fvm = 1 where id = 1120523;</v>
      </c>
    </row>
    <row r="555" spans="1:16" x14ac:dyDescent="0.25">
      <c r="A555" s="1" t="str">
        <f t="shared" si="32"/>
        <v>MazzocchiVenezia</v>
      </c>
      <c r="B555" s="1" t="str">
        <f t="shared" si="33"/>
        <v>Mazzocchi P.Venezia</v>
      </c>
      <c r="C555" s="1">
        <v>1063647</v>
      </c>
      <c r="D555" s="1" t="s">
        <v>270</v>
      </c>
      <c r="E555" s="1" t="s">
        <v>585</v>
      </c>
      <c r="F555" s="1" t="s">
        <v>48</v>
      </c>
      <c r="G555" s="1" t="s">
        <v>92</v>
      </c>
      <c r="H555" s="1">
        <v>6</v>
      </c>
      <c r="I555" s="1">
        <v>1</v>
      </c>
      <c r="J555" s="1" t="str">
        <f>VLOOKUP(A555,'Leghe Fantacalcio'!A:I,1,FALSE)</f>
        <v>MazzocchiVenezia</v>
      </c>
      <c r="K555" s="1" t="e">
        <f>VLOOKUP(B555,'Leghe Fantacalcio'!A:I,1,FALSE)</f>
        <v>#N/A</v>
      </c>
      <c r="L555" s="1">
        <f>IF(ISNA(VLOOKUP(A555,'Leghe Fantacalcio'!A:I,2,FALSE)),"",VLOOKUP(A555,'Leghe Fantacalcio'!A:I,2,FALSE))</f>
        <v>5481</v>
      </c>
      <c r="M555" s="1" t="str">
        <f>IF(ISNA(VLOOKUP(B555,'Leghe Fantacalcio'!A:I,2,FALSE)),"",VLOOKUP(B555,'Leghe Fantacalcio'!A:I,2,FALSE))</f>
        <v/>
      </c>
      <c r="N555" s="1">
        <f t="shared" si="34"/>
        <v>5481</v>
      </c>
      <c r="O555" s="1">
        <f>IFERROR(VLOOKUP(N555,'Leghe Fantacalcio'!B:I,8,FALSE),0)</f>
        <v>10</v>
      </c>
      <c r="P555" s="1" t="str">
        <f t="shared" si="35"/>
        <v>update giocatori set fvm = 10 where id = 1063647;</v>
      </c>
    </row>
    <row r="556" spans="1:16" x14ac:dyDescent="0.25">
      <c r="A556" s="1" t="str">
        <f t="shared" si="32"/>
        <v>MohammedVenezia</v>
      </c>
      <c r="B556" s="1" t="str">
        <f t="shared" si="33"/>
        <v>Mohammed R.Venezia</v>
      </c>
      <c r="C556" s="1">
        <v>1120640</v>
      </c>
      <c r="D556" s="1" t="s">
        <v>626</v>
      </c>
      <c r="E556" s="1" t="s">
        <v>581</v>
      </c>
      <c r="F556" s="1" t="s">
        <v>48</v>
      </c>
      <c r="G556" s="1" t="s">
        <v>92</v>
      </c>
      <c r="H556" s="1">
        <v>6</v>
      </c>
      <c r="I556" s="1">
        <v>4</v>
      </c>
      <c r="J556" s="1" t="e">
        <f>VLOOKUP(A556,'Leghe Fantacalcio'!A:I,1,FALSE)</f>
        <v>#N/A</v>
      </c>
      <c r="K556" s="1" t="e">
        <f>VLOOKUP(B556,'Leghe Fantacalcio'!A:I,1,FALSE)</f>
        <v>#N/A</v>
      </c>
      <c r="L556" s="1" t="str">
        <f>IF(ISNA(VLOOKUP(A556,'Leghe Fantacalcio'!A:I,2,FALSE)),"",VLOOKUP(A556,'Leghe Fantacalcio'!A:I,2,FALSE))</f>
        <v/>
      </c>
      <c r="M556" s="1" t="str">
        <f>IF(ISNA(VLOOKUP(B556,'Leghe Fantacalcio'!A:I,2,FALSE)),"",VLOOKUP(B556,'Leghe Fantacalcio'!A:I,2,FALSE))</f>
        <v/>
      </c>
      <c r="N556" s="1" t="str">
        <f t="shared" si="34"/>
        <v/>
      </c>
      <c r="O556" s="1">
        <f>IFERROR(VLOOKUP(N556,'Leghe Fantacalcio'!B:I,8,FALSE),0)</f>
        <v>0</v>
      </c>
      <c r="P556" s="1" t="str">
        <f t="shared" si="35"/>
        <v>update giocatori set fvm = 0 where id = 1120640;</v>
      </c>
    </row>
    <row r="557" spans="1:16" x14ac:dyDescent="0.25">
      <c r="A557" s="1" t="str">
        <f t="shared" si="32"/>
        <v>MontipoVenezia</v>
      </c>
      <c r="B557" s="1" t="str">
        <f t="shared" si="33"/>
        <v>Montipo L.Venezia</v>
      </c>
      <c r="C557" s="1">
        <v>1038257</v>
      </c>
      <c r="D557" s="1" t="s">
        <v>596</v>
      </c>
      <c r="E557" s="1" t="s">
        <v>590</v>
      </c>
      <c r="F557" s="1" t="s">
        <v>48</v>
      </c>
      <c r="G557" s="1" t="s">
        <v>8</v>
      </c>
      <c r="H557" s="1">
        <v>6</v>
      </c>
      <c r="I557" s="1">
        <v>1</v>
      </c>
      <c r="J557" s="1" t="e">
        <f>VLOOKUP(A557,'Leghe Fantacalcio'!A:I,1,FALSE)</f>
        <v>#N/A</v>
      </c>
      <c r="K557" s="1" t="e">
        <f>VLOOKUP(B557,'Leghe Fantacalcio'!A:I,1,FALSE)</f>
        <v>#N/A</v>
      </c>
      <c r="L557" s="1" t="str">
        <f>IF(ISNA(VLOOKUP(A557,'Leghe Fantacalcio'!A:I,2,FALSE)),"",VLOOKUP(A557,'Leghe Fantacalcio'!A:I,2,FALSE))</f>
        <v/>
      </c>
      <c r="M557" s="1" t="str">
        <f>IF(ISNA(VLOOKUP(B557,'Leghe Fantacalcio'!A:I,2,FALSE)),"",VLOOKUP(B557,'Leghe Fantacalcio'!A:I,2,FALSE))</f>
        <v/>
      </c>
      <c r="N557" s="1" t="str">
        <f t="shared" si="34"/>
        <v/>
      </c>
      <c r="O557" s="1">
        <f>IFERROR(VLOOKUP(N557,'Leghe Fantacalcio'!B:I,8,FALSE),0)</f>
        <v>0</v>
      </c>
      <c r="P557" s="1" t="str">
        <f t="shared" si="35"/>
        <v>update giocatori set fvm = 0 where id = 1038257;</v>
      </c>
    </row>
    <row r="558" spans="1:16" x14ac:dyDescent="0.25">
      <c r="A558" s="1" t="str">
        <f t="shared" si="32"/>
        <v>MorenoVenezia</v>
      </c>
      <c r="B558" s="1" t="str">
        <f t="shared" si="33"/>
        <v>Moreno M.Venezia</v>
      </c>
      <c r="C558" s="1">
        <v>1119769</v>
      </c>
      <c r="D558" s="1" t="s">
        <v>628</v>
      </c>
      <c r="E558" s="1" t="s">
        <v>572</v>
      </c>
      <c r="F558" s="1" t="s">
        <v>48</v>
      </c>
      <c r="G558" s="1" t="s">
        <v>92</v>
      </c>
      <c r="H558" s="1">
        <v>6</v>
      </c>
      <c r="I558" s="1">
        <v>4</v>
      </c>
      <c r="J558" s="1" t="e">
        <f>VLOOKUP(A558,'Leghe Fantacalcio'!A:I,1,FALSE)</f>
        <v>#N/A</v>
      </c>
      <c r="K558" s="1" t="str">
        <f>VLOOKUP(B558,'Leghe Fantacalcio'!A:I,1,FALSE)</f>
        <v>Moreno M.Venezia</v>
      </c>
      <c r="L558" s="1" t="str">
        <f>IF(ISNA(VLOOKUP(A558,'Leghe Fantacalcio'!A:I,2,FALSE)),"",VLOOKUP(A558,'Leghe Fantacalcio'!A:I,2,FALSE))</f>
        <v/>
      </c>
      <c r="M558" s="1">
        <f>IF(ISNA(VLOOKUP(B558,'Leghe Fantacalcio'!A:I,2,FALSE)),"",VLOOKUP(B558,'Leghe Fantacalcio'!A:I,2,FALSE))</f>
        <v>6890</v>
      </c>
      <c r="N558" s="1">
        <f t="shared" si="34"/>
        <v>6890</v>
      </c>
      <c r="O558" s="1">
        <f>IFERROR(VLOOKUP(N558,'Leghe Fantacalcio'!B:I,8,FALSE),0)</f>
        <v>6</v>
      </c>
      <c r="P558" s="1" t="str">
        <f t="shared" si="35"/>
        <v>update giocatori set fvm = 6 where id = 1119769;</v>
      </c>
    </row>
    <row r="559" spans="1:16" x14ac:dyDescent="0.25">
      <c r="A559" s="1" t="str">
        <f t="shared" si="32"/>
        <v>PanadaVenezia</v>
      </c>
      <c r="B559" s="1" t="str">
        <f t="shared" si="33"/>
        <v>Panada S.Venezia</v>
      </c>
      <c r="C559" s="1">
        <v>1103059</v>
      </c>
      <c r="D559" s="1" t="s">
        <v>659</v>
      </c>
      <c r="E559" s="1" t="s">
        <v>580</v>
      </c>
      <c r="F559" s="1" t="s">
        <v>48</v>
      </c>
      <c r="G559" s="1" t="s">
        <v>283</v>
      </c>
      <c r="H559" s="1">
        <v>6</v>
      </c>
      <c r="I559" s="1">
        <v>1</v>
      </c>
      <c r="J559" s="1" t="e">
        <f>VLOOKUP(A559,'Leghe Fantacalcio'!A:I,1,FALSE)</f>
        <v>#N/A</v>
      </c>
      <c r="K559" s="1" t="e">
        <f>VLOOKUP(B559,'Leghe Fantacalcio'!A:I,1,FALSE)</f>
        <v>#N/A</v>
      </c>
      <c r="L559" s="1" t="str">
        <f>IF(ISNA(VLOOKUP(A559,'Leghe Fantacalcio'!A:I,2,FALSE)),"",VLOOKUP(A559,'Leghe Fantacalcio'!A:I,2,FALSE))</f>
        <v/>
      </c>
      <c r="M559" s="1" t="str">
        <f>IF(ISNA(VLOOKUP(B559,'Leghe Fantacalcio'!A:I,2,FALSE)),"",VLOOKUP(B559,'Leghe Fantacalcio'!A:I,2,FALSE))</f>
        <v/>
      </c>
      <c r="N559" s="1" t="str">
        <f t="shared" si="34"/>
        <v/>
      </c>
      <c r="O559" s="1">
        <f>IFERROR(VLOOKUP(N559,'Leghe Fantacalcio'!B:I,8,FALSE),0)</f>
        <v>0</v>
      </c>
      <c r="P559" s="1" t="str">
        <f t="shared" si="35"/>
        <v>update giocatori set fvm = 0 where id = 1103059;</v>
      </c>
    </row>
    <row r="560" spans="1:16" x14ac:dyDescent="0.25">
      <c r="A560" s="1" t="str">
        <f t="shared" si="32"/>
        <v>PozziVenezia</v>
      </c>
      <c r="B560" s="1" t="str">
        <f t="shared" si="33"/>
        <v>Pozzi A.Venezia</v>
      </c>
      <c r="C560" s="1">
        <v>1120512</v>
      </c>
      <c r="D560" s="1" t="s">
        <v>81</v>
      </c>
      <c r="E560" s="1" t="s">
        <v>584</v>
      </c>
      <c r="F560" s="1" t="s">
        <v>48</v>
      </c>
      <c r="G560" s="1" t="s">
        <v>8</v>
      </c>
      <c r="H560" s="1">
        <v>6</v>
      </c>
      <c r="I560" s="1">
        <v>1</v>
      </c>
      <c r="J560" s="1" t="str">
        <f>VLOOKUP(A560,'Leghe Fantacalcio'!A:I,1,FALSE)</f>
        <v>PozziVenezia</v>
      </c>
      <c r="K560" s="1" t="e">
        <f>VLOOKUP(B560,'Leghe Fantacalcio'!A:I,1,FALSE)</f>
        <v>#N/A</v>
      </c>
      <c r="L560" s="1">
        <f>IF(ISNA(VLOOKUP(A560,'Leghe Fantacalcio'!A:I,2,FALSE)),"",VLOOKUP(A560,'Leghe Fantacalcio'!A:I,2,FALSE))</f>
        <v>7531</v>
      </c>
      <c r="M560" s="1" t="str">
        <f>IF(ISNA(VLOOKUP(B560,'Leghe Fantacalcio'!A:I,2,FALSE)),"",VLOOKUP(B560,'Leghe Fantacalcio'!A:I,2,FALSE))</f>
        <v/>
      </c>
      <c r="N560" s="1">
        <f t="shared" si="34"/>
        <v>7531</v>
      </c>
      <c r="O560" s="1">
        <f>IFERROR(VLOOKUP(N560,'Leghe Fantacalcio'!B:I,8,FALSE),0)</f>
        <v>1</v>
      </c>
      <c r="P560" s="1" t="str">
        <f t="shared" si="35"/>
        <v>update giocatori set fvm = 1 where id = 1120512;</v>
      </c>
    </row>
    <row r="561" spans="1:16" ht="14.5" x14ac:dyDescent="0.35">
      <c r="A561" s="1" t="str">
        <f t="shared" si="32"/>
        <v>Rrahmani Al.Venezia</v>
      </c>
      <c r="B561" s="1" t="str">
        <f t="shared" si="33"/>
        <v>Rrahmani Al. A.Venezia</v>
      </c>
      <c r="C561" s="1">
        <v>1114004</v>
      </c>
      <c r="D561" t="s">
        <v>538</v>
      </c>
      <c r="E561" s="1" t="s">
        <v>584</v>
      </c>
      <c r="F561" s="1" t="s">
        <v>48</v>
      </c>
      <c r="G561" s="1" t="s">
        <v>478</v>
      </c>
      <c r="H561" s="1">
        <v>6</v>
      </c>
      <c r="I561" s="1">
        <v>9</v>
      </c>
      <c r="J561" s="1" t="str">
        <f>VLOOKUP(A561,'Leghe Fantacalcio'!A:I,1,FALSE)</f>
        <v>Rrahmani Al.Venezia</v>
      </c>
      <c r="K561" s="1" t="e">
        <f>VLOOKUP(B561,'Leghe Fantacalcio'!A:I,1,FALSE)</f>
        <v>#N/A</v>
      </c>
      <c r="L561" s="1">
        <f>IF(ISNA(VLOOKUP(A561,'Leghe Fantacalcio'!A:I,2,FALSE)),"",VLOOKUP(A561,'Leghe Fantacalcio'!A:I,2,FALSE))</f>
        <v>7449</v>
      </c>
      <c r="M561" s="1" t="str">
        <f>IF(ISNA(VLOOKUP(B561,'Leghe Fantacalcio'!A:I,2,FALSE)),"",VLOOKUP(B561,'Leghe Fantacalcio'!A:I,2,FALSE))</f>
        <v/>
      </c>
      <c r="N561" s="1">
        <f t="shared" si="34"/>
        <v>7449</v>
      </c>
      <c r="O561" s="1">
        <f>IFERROR(VLOOKUP(N561,'Leghe Fantacalcio'!B:I,8,FALSE),0)</f>
        <v>9</v>
      </c>
      <c r="P561" s="1" t="str">
        <f t="shared" si="35"/>
        <v>update giocatori set fvm = 9 where id = 1114004;</v>
      </c>
    </row>
    <row r="562" spans="1:16" x14ac:dyDescent="0.25">
      <c r="A562" s="1" t="str">
        <f t="shared" si="32"/>
        <v>SagradoVenezia</v>
      </c>
      <c r="B562" s="1" t="str">
        <f t="shared" si="33"/>
        <v>Sagrado R.Venezia</v>
      </c>
      <c r="C562" s="1">
        <v>1119724</v>
      </c>
      <c r="D562" s="1" t="s">
        <v>234</v>
      </c>
      <c r="E562" s="1" t="s">
        <v>581</v>
      </c>
      <c r="F562" s="1" t="s">
        <v>48</v>
      </c>
      <c r="G562" s="1" t="s">
        <v>92</v>
      </c>
      <c r="H562" s="1">
        <v>6</v>
      </c>
      <c r="I562" s="1">
        <v>6</v>
      </c>
      <c r="J562" s="1" t="str">
        <f>VLOOKUP(A562,'Leghe Fantacalcio'!A:I,1,FALSE)</f>
        <v>SagradoVenezia</v>
      </c>
      <c r="K562" s="1" t="e">
        <f>VLOOKUP(B562,'Leghe Fantacalcio'!A:I,1,FALSE)</f>
        <v>#N/A</v>
      </c>
      <c r="L562" s="1">
        <f>IF(ISNA(VLOOKUP(A562,'Leghe Fantacalcio'!A:I,2,FALSE)),"",VLOOKUP(A562,'Leghe Fantacalcio'!A:I,2,FALSE))</f>
        <v>6681</v>
      </c>
      <c r="M562" s="1" t="str">
        <f>IF(ISNA(VLOOKUP(B562,'Leghe Fantacalcio'!A:I,2,FALSE)),"",VLOOKUP(B562,'Leghe Fantacalcio'!A:I,2,FALSE))</f>
        <v/>
      </c>
      <c r="N562" s="1">
        <f t="shared" si="34"/>
        <v>6681</v>
      </c>
      <c r="O562" s="1">
        <f>IFERROR(VLOOKUP(N562,'Leghe Fantacalcio'!B:I,8,FALSE),0)</f>
        <v>4</v>
      </c>
      <c r="P562" s="1" t="str">
        <f t="shared" si="35"/>
        <v>update giocatori set fvm = 4 where id = 1119724;</v>
      </c>
    </row>
    <row r="563" spans="1:16" x14ac:dyDescent="0.25">
      <c r="A563" s="1" t="str">
        <f t="shared" si="32"/>
        <v>SchingtienneVenezia</v>
      </c>
      <c r="B563" s="1" t="str">
        <f t="shared" si="33"/>
        <v>Schingtienne J.Venezia</v>
      </c>
      <c r="C563" s="1">
        <v>1119759</v>
      </c>
      <c r="D563" s="1" t="s">
        <v>250</v>
      </c>
      <c r="E563" s="1" t="s">
        <v>571</v>
      </c>
      <c r="F563" s="1" t="s">
        <v>48</v>
      </c>
      <c r="G563" s="1" t="s">
        <v>92</v>
      </c>
      <c r="H563" s="1">
        <v>6</v>
      </c>
      <c r="I563" s="1">
        <v>4</v>
      </c>
      <c r="J563" s="1" t="str">
        <f>VLOOKUP(A563,'Leghe Fantacalcio'!A:I,1,FALSE)</f>
        <v>SchingtienneVenezia</v>
      </c>
      <c r="K563" s="1" t="e">
        <f>VLOOKUP(B563,'Leghe Fantacalcio'!A:I,1,FALSE)</f>
        <v>#N/A</v>
      </c>
      <c r="L563" s="1">
        <f>IF(ISNA(VLOOKUP(A563,'Leghe Fantacalcio'!A:I,2,FALSE)),"",VLOOKUP(A563,'Leghe Fantacalcio'!A:I,2,FALSE))</f>
        <v>6892</v>
      </c>
      <c r="M563" s="1" t="str">
        <f>IF(ISNA(VLOOKUP(B563,'Leghe Fantacalcio'!A:I,2,FALSE)),"",VLOOKUP(B563,'Leghe Fantacalcio'!A:I,2,FALSE))</f>
        <v/>
      </c>
      <c r="N563" s="1">
        <f t="shared" si="34"/>
        <v>6892</v>
      </c>
      <c r="O563" s="1">
        <f>IFERROR(VLOOKUP(N563,'Leghe Fantacalcio'!B:I,8,FALSE),0)</f>
        <v>10</v>
      </c>
      <c r="P563" s="1" t="str">
        <f t="shared" si="35"/>
        <v>update giocatori set fvm = 10 where id = 1119759;</v>
      </c>
    </row>
    <row r="564" spans="1:16" x14ac:dyDescent="0.25">
      <c r="A564" s="1" t="str">
        <f t="shared" si="32"/>
        <v>SohmVenezia</v>
      </c>
      <c r="B564" s="1" t="str">
        <f t="shared" si="33"/>
        <v>Sohm S.Venezia</v>
      </c>
      <c r="C564" s="1">
        <v>1102496</v>
      </c>
      <c r="D564" s="1" t="s">
        <v>406</v>
      </c>
      <c r="E564" s="1" t="s">
        <v>580</v>
      </c>
      <c r="F564" s="1" t="s">
        <v>48</v>
      </c>
      <c r="G564" s="1" t="s">
        <v>283</v>
      </c>
      <c r="H564" s="1">
        <v>6</v>
      </c>
      <c r="I564" s="1">
        <v>13</v>
      </c>
      <c r="J564" s="1" t="str">
        <f>VLOOKUP(A564,'Leghe Fantacalcio'!A:I,1,FALSE)</f>
        <v>SohmVenezia</v>
      </c>
      <c r="K564" s="1" t="e">
        <f>VLOOKUP(B564,'Leghe Fantacalcio'!A:I,1,FALSE)</f>
        <v>#N/A</v>
      </c>
      <c r="L564" s="1">
        <f>IF(ISNA(VLOOKUP(A564,'Leghe Fantacalcio'!A:I,2,FALSE)),"",VLOOKUP(A564,'Leghe Fantacalcio'!A:I,2,FALSE))</f>
        <v>5319</v>
      </c>
      <c r="M564" s="1" t="str">
        <f>IF(ISNA(VLOOKUP(B564,'Leghe Fantacalcio'!A:I,2,FALSE)),"",VLOOKUP(B564,'Leghe Fantacalcio'!A:I,2,FALSE))</f>
        <v/>
      </c>
      <c r="N564" s="1">
        <f t="shared" si="34"/>
        <v>5319</v>
      </c>
      <c r="O564" s="1">
        <f>IFERROR(VLOOKUP(N564,'Leghe Fantacalcio'!B:I,8,FALSE),0)</f>
        <v>10</v>
      </c>
      <c r="P564" s="1" t="str">
        <f t="shared" si="35"/>
        <v>update giocatori set fvm = 10 where id = 1102496;</v>
      </c>
    </row>
    <row r="565" spans="1:16" x14ac:dyDescent="0.25">
      <c r="A565" s="1" t="str">
        <f t="shared" si="32"/>
        <v>StankovicVenezia</v>
      </c>
      <c r="B565" s="1" t="str">
        <f t="shared" si="33"/>
        <v>Stankovic F.Venezia</v>
      </c>
      <c r="C565" s="1">
        <v>1102651</v>
      </c>
      <c r="D565" s="1" t="s">
        <v>604</v>
      </c>
      <c r="E565" s="1" t="s">
        <v>589</v>
      </c>
      <c r="F565" s="1" t="s">
        <v>48</v>
      </c>
      <c r="G565" s="1" t="s">
        <v>8</v>
      </c>
      <c r="H565" s="1">
        <v>6</v>
      </c>
      <c r="I565" s="1">
        <v>6</v>
      </c>
      <c r="J565" s="1" t="e">
        <f>VLOOKUP(A565,'Leghe Fantacalcio'!A:I,1,FALSE)</f>
        <v>#N/A</v>
      </c>
      <c r="K565" s="1" t="str">
        <f>VLOOKUP(B565,'Leghe Fantacalcio'!A:I,1,FALSE)</f>
        <v>Stankovic F.Venezia</v>
      </c>
      <c r="L565" s="1" t="str">
        <f>IF(ISNA(VLOOKUP(A565,'Leghe Fantacalcio'!A:I,2,FALSE)),"",VLOOKUP(A565,'Leghe Fantacalcio'!A:I,2,FALSE))</f>
        <v/>
      </c>
      <c r="M565" s="1">
        <f>IF(ISNA(VLOOKUP(B565,'Leghe Fantacalcio'!A:I,2,FALSE)),"",VLOOKUP(B565,'Leghe Fantacalcio'!A:I,2,FALSE))</f>
        <v>6248</v>
      </c>
      <c r="N565" s="1">
        <f t="shared" si="34"/>
        <v>6248</v>
      </c>
      <c r="O565" s="1">
        <f>IFERROR(VLOOKUP(N565,'Leghe Fantacalcio'!B:I,8,FALSE),0)</f>
        <v>8</v>
      </c>
      <c r="P565" s="1" t="str">
        <f t="shared" si="35"/>
        <v>update giocatori set fvm = 8 where id = 1102651;</v>
      </c>
    </row>
    <row r="566" spans="1:16" x14ac:dyDescent="0.25">
      <c r="A566" s="1" t="str">
        <f t="shared" si="32"/>
        <v>SverkoVenezia</v>
      </c>
      <c r="B566" s="1" t="str">
        <f t="shared" si="33"/>
        <v>Sverko M.Venezia</v>
      </c>
      <c r="C566" s="1">
        <v>1116407</v>
      </c>
      <c r="D566" s="1" t="s">
        <v>251</v>
      </c>
      <c r="E566" s="1" t="s">
        <v>572</v>
      </c>
      <c r="F566" s="1" t="s">
        <v>48</v>
      </c>
      <c r="G566" s="1" t="s">
        <v>92</v>
      </c>
      <c r="H566" s="1">
        <v>6</v>
      </c>
      <c r="I566" s="1">
        <v>3</v>
      </c>
      <c r="J566" s="1" t="str">
        <f>VLOOKUP(A566,'Leghe Fantacalcio'!A:I,1,FALSE)</f>
        <v>SverkoVenezia</v>
      </c>
      <c r="K566" s="1" t="e">
        <f>VLOOKUP(B566,'Leghe Fantacalcio'!A:I,1,FALSE)</f>
        <v>#N/A</v>
      </c>
      <c r="L566" s="1">
        <f>IF(ISNA(VLOOKUP(A566,'Leghe Fantacalcio'!A:I,2,FALSE)),"",VLOOKUP(A566,'Leghe Fantacalcio'!A:I,2,FALSE))</f>
        <v>6673</v>
      </c>
      <c r="M566" s="1" t="str">
        <f>IF(ISNA(VLOOKUP(B566,'Leghe Fantacalcio'!A:I,2,FALSE)),"",VLOOKUP(B566,'Leghe Fantacalcio'!A:I,2,FALSE))</f>
        <v/>
      </c>
      <c r="N566" s="1">
        <f t="shared" si="34"/>
        <v>6673</v>
      </c>
      <c r="O566" s="1">
        <f>IFERROR(VLOOKUP(N566,'Leghe Fantacalcio'!B:I,8,FALSE),0)</f>
        <v>7</v>
      </c>
      <c r="P566" s="1" t="str">
        <f t="shared" si="35"/>
        <v>update giocatori set fvm = 7 where id = 1116407;</v>
      </c>
    </row>
    <row r="567" spans="1:16" ht="14.5" x14ac:dyDescent="0.35">
      <c r="A567" s="1" t="str">
        <f t="shared" si="32"/>
        <v>Correia T.Venezia</v>
      </c>
      <c r="B567" s="1" t="str">
        <f t="shared" si="33"/>
        <v>Correia T. Venezia</v>
      </c>
      <c r="C567" s="1">
        <v>1070142</v>
      </c>
      <c r="D567" t="s">
        <v>170</v>
      </c>
      <c r="E567" s="1" t="s">
        <v>579</v>
      </c>
      <c r="F567" s="1" t="s">
        <v>48</v>
      </c>
      <c r="G567" s="1" t="s">
        <v>92</v>
      </c>
      <c r="H567" s="1">
        <v>6</v>
      </c>
      <c r="I567" s="1">
        <v>6</v>
      </c>
      <c r="J567" s="1" t="str">
        <f>VLOOKUP(A567,'Leghe Fantacalcio'!A:I,1,FALSE)</f>
        <v>Correia T.Venezia</v>
      </c>
      <c r="K567" s="1" t="e">
        <f>VLOOKUP(B567,'Leghe Fantacalcio'!A:I,1,FALSE)</f>
        <v>#N/A</v>
      </c>
      <c r="L567" s="1">
        <f>IF(ISNA(VLOOKUP(A567,'Leghe Fantacalcio'!A:I,2,FALSE)),"",VLOOKUP(A567,'Leghe Fantacalcio'!A:I,2,FALSE))</f>
        <v>4845</v>
      </c>
      <c r="M567" s="1" t="str">
        <f>IF(ISNA(VLOOKUP(B567,'Leghe Fantacalcio'!A:I,2,FALSE)),"",VLOOKUP(B567,'Leghe Fantacalcio'!A:I,2,FALSE))</f>
        <v/>
      </c>
      <c r="N567" s="1">
        <f t="shared" si="34"/>
        <v>4845</v>
      </c>
      <c r="O567" s="1">
        <f>IFERROR(VLOOKUP(N567,'Leghe Fantacalcio'!B:I,8,FALSE),0)</f>
        <v>8</v>
      </c>
      <c r="P567" s="1" t="str">
        <f t="shared" si="35"/>
        <v>update giocatori set fvm = 8 where id = 1070142;</v>
      </c>
    </row>
    <row r="568" spans="1:16" ht="14.5" x14ac:dyDescent="0.35">
      <c r="A568" s="1" t="str">
        <f t="shared" si="32"/>
        <v>Fernandez T.Venezia</v>
      </c>
      <c r="B568" s="1" t="str">
        <f t="shared" si="33"/>
        <v>Fernandez T. Venezia</v>
      </c>
      <c r="C568" s="1">
        <v>1120639</v>
      </c>
      <c r="D568" t="s">
        <v>447</v>
      </c>
      <c r="E568" s="1" t="s">
        <v>579</v>
      </c>
      <c r="F568" s="1" t="s">
        <v>48</v>
      </c>
      <c r="G568" s="1" t="s">
        <v>283</v>
      </c>
      <c r="H568" s="1">
        <v>6</v>
      </c>
      <c r="I568" s="1">
        <v>9</v>
      </c>
      <c r="J568" s="1" t="str">
        <f>VLOOKUP(A568,'Leghe Fantacalcio'!A:I,1,FALSE)</f>
        <v>Fernandez T.Venezia</v>
      </c>
      <c r="K568" s="1" t="e">
        <f>VLOOKUP(B568,'Leghe Fantacalcio'!A:I,1,FALSE)</f>
        <v>#N/A</v>
      </c>
      <c r="L568" s="1">
        <f>IF(ISNA(VLOOKUP(A568,'Leghe Fantacalcio'!A:I,2,FALSE)),"",VLOOKUP(A568,'Leghe Fantacalcio'!A:I,2,FALSE))</f>
        <v>7232</v>
      </c>
      <c r="M568" s="1" t="str">
        <f>IF(ISNA(VLOOKUP(B568,'Leghe Fantacalcio'!A:I,2,FALSE)),"",VLOOKUP(B568,'Leghe Fantacalcio'!A:I,2,FALSE))</f>
        <v/>
      </c>
      <c r="N568" s="1">
        <f t="shared" si="34"/>
        <v>7232</v>
      </c>
      <c r="O568" s="1">
        <f>IFERROR(VLOOKUP(N568,'Leghe Fantacalcio'!B:I,8,FALSE),0)</f>
        <v>8</v>
      </c>
      <c r="P568" s="1" t="str">
        <f t="shared" si="35"/>
        <v>update giocatori set fvm = 8 where id = 1120639;</v>
      </c>
    </row>
    <row r="569" spans="1:16" x14ac:dyDescent="0.25">
      <c r="A569" s="1" t="str">
        <f t="shared" si="32"/>
        <v>ToureVenezia</v>
      </c>
      <c r="B569" s="1" t="str">
        <f t="shared" si="33"/>
        <v>Toure M.Venezia</v>
      </c>
      <c r="C569" s="1">
        <v>1120520</v>
      </c>
      <c r="D569" s="1" t="s">
        <v>665</v>
      </c>
      <c r="E569" s="1" t="s">
        <v>572</v>
      </c>
      <c r="F569" s="1" t="s">
        <v>48</v>
      </c>
      <c r="G569" s="1" t="s">
        <v>478</v>
      </c>
      <c r="H569" s="1">
        <v>6</v>
      </c>
      <c r="I569" s="1">
        <v>1</v>
      </c>
      <c r="J569" s="1" t="e">
        <f>VLOOKUP(A569,'Leghe Fantacalcio'!A:I,1,FALSE)</f>
        <v>#N/A</v>
      </c>
      <c r="K569" s="1" t="e">
        <f>VLOOKUP(B569,'Leghe Fantacalcio'!A:I,1,FALSE)</f>
        <v>#N/A</v>
      </c>
      <c r="L569" s="1" t="str">
        <f>IF(ISNA(VLOOKUP(A569,'Leghe Fantacalcio'!A:I,2,FALSE)),"",VLOOKUP(A569,'Leghe Fantacalcio'!A:I,2,FALSE))</f>
        <v/>
      </c>
      <c r="M569" s="1" t="str">
        <f>IF(ISNA(VLOOKUP(B569,'Leghe Fantacalcio'!A:I,2,FALSE)),"",VLOOKUP(B569,'Leghe Fantacalcio'!A:I,2,FALSE))</f>
        <v/>
      </c>
      <c r="N569" s="1" t="str">
        <f t="shared" si="34"/>
        <v/>
      </c>
      <c r="O569" s="1">
        <f>IFERROR(VLOOKUP(N569,'Leghe Fantacalcio'!B:I,8,FALSE),0)</f>
        <v>0</v>
      </c>
      <c r="P569" s="1" t="str">
        <f t="shared" si="35"/>
        <v>update giocatori set fvm = 0 where id = 1120520;</v>
      </c>
    </row>
    <row r="570" spans="1:16" x14ac:dyDescent="0.25">
      <c r="A570" s="1" t="str">
        <f t="shared" si="32"/>
        <v>YeboahVenezia</v>
      </c>
      <c r="B570" s="1" t="str">
        <f t="shared" si="33"/>
        <v>Yeboah J.Venezia</v>
      </c>
      <c r="C570" s="1">
        <v>1102086</v>
      </c>
      <c r="D570" s="1" t="s">
        <v>691</v>
      </c>
      <c r="E570" s="1" t="s">
        <v>571</v>
      </c>
      <c r="F570" s="1" t="s">
        <v>48</v>
      </c>
      <c r="G570" s="1" t="s">
        <v>478</v>
      </c>
      <c r="H570" s="1">
        <v>6</v>
      </c>
      <c r="I570" s="1">
        <v>20</v>
      </c>
      <c r="J570" s="1" t="e">
        <f>VLOOKUP(A570,'Leghe Fantacalcio'!A:I,1,FALSE)</f>
        <v>#N/A</v>
      </c>
      <c r="K570" s="1" t="str">
        <f>VLOOKUP(B570,'Leghe Fantacalcio'!A:I,1,FALSE)</f>
        <v>Yeboah J.Venezia</v>
      </c>
      <c r="L570" s="1" t="str">
        <f>IF(ISNA(VLOOKUP(A570,'Leghe Fantacalcio'!A:I,2,FALSE)),"",VLOOKUP(A570,'Leghe Fantacalcio'!A:I,2,FALSE))</f>
        <v/>
      </c>
      <c r="M570" s="1">
        <f>IF(ISNA(VLOOKUP(B570,'Leghe Fantacalcio'!A:I,2,FALSE)),"",VLOOKUP(B570,'Leghe Fantacalcio'!A:I,2,FALSE))</f>
        <v>6904</v>
      </c>
      <c r="N570" s="1">
        <f t="shared" si="34"/>
        <v>6904</v>
      </c>
      <c r="O570" s="1">
        <f>IFERROR(VLOOKUP(N570,'Leghe Fantacalcio'!B:I,8,FALSE),0)</f>
        <v>27</v>
      </c>
      <c r="P570" s="1" t="str">
        <f t="shared" si="35"/>
        <v>update giocatori set fvm = 27 where id = 1102086;</v>
      </c>
    </row>
  </sheetData>
  <sortState xmlns:xlrd2="http://schemas.microsoft.com/office/spreadsheetml/2017/richdata2" ref="C2:I570">
    <sortCondition ref="F2:F570"/>
    <sortCondition ref="D2:D570"/>
    <sortCondition ref="E2:E570"/>
  </sortState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7265625" bestFit="1" customWidth="1"/>
    <col min="2" max="2" width="4.81640625" bestFit="1" customWidth="1"/>
    <col min="3" max="3" width="2.08984375" bestFit="1" customWidth="1"/>
    <col min="4" max="4" width="16.08984375" bestFit="1" customWidth="1"/>
    <col min="5" max="5" width="9.26953125" bestFit="1" customWidth="1"/>
    <col min="6" max="6" width="4.6328125" bestFit="1" customWidth="1"/>
    <col min="7" max="7" width="4" bestFit="1" customWidth="1"/>
    <col min="8" max="8" width="4.36328125" bestFit="1" customWidth="1"/>
    <col min="9" max="9" width="4.6328125" bestFit="1" customWidth="1"/>
  </cols>
  <sheetData>
    <row r="1" spans="1:10" x14ac:dyDescent="0.35">
      <c r="A1" s="3" t="s">
        <v>694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701</v>
      </c>
    </row>
    <row r="2" spans="1:10" x14ac:dyDescent="0.35">
      <c r="A2" t="str">
        <f t="shared" ref="A2:A65" si="0">CONCATENATE(D2,E2)</f>
        <v>BellanovaAtalanta</v>
      </c>
      <c r="B2">
        <v>4887</v>
      </c>
      <c r="C2" t="s">
        <v>92</v>
      </c>
      <c r="D2" t="s">
        <v>177</v>
      </c>
      <c r="E2" t="s">
        <v>12</v>
      </c>
      <c r="F2">
        <v>5</v>
      </c>
      <c r="G2">
        <v>6</v>
      </c>
      <c r="H2">
        <v>-1</v>
      </c>
      <c r="I2">
        <v>16</v>
      </c>
      <c r="J2">
        <f>VLOOKUP(B2,'Quotazioni calciatori'!N:N,1,FALSE)</f>
        <v>4887</v>
      </c>
    </row>
    <row r="3" spans="1:10" x14ac:dyDescent="0.35">
      <c r="A3" t="str">
        <f t="shared" si="0"/>
        <v>BernasconiAtalanta</v>
      </c>
      <c r="B3">
        <v>7219</v>
      </c>
      <c r="C3" t="s">
        <v>92</v>
      </c>
      <c r="D3" t="s">
        <v>178</v>
      </c>
      <c r="E3" t="s">
        <v>12</v>
      </c>
      <c r="F3">
        <v>5</v>
      </c>
      <c r="G3">
        <v>6</v>
      </c>
      <c r="H3">
        <v>-1</v>
      </c>
      <c r="I3">
        <v>14</v>
      </c>
      <c r="J3">
        <f>VLOOKUP(B3,'Quotazioni calciatori'!N:N,1,FALSE)</f>
        <v>7219</v>
      </c>
    </row>
    <row r="4" spans="1:10" x14ac:dyDescent="0.35">
      <c r="A4" t="str">
        <f t="shared" si="0"/>
        <v>CarnesecchiAtalanta</v>
      </c>
      <c r="B4">
        <v>4431</v>
      </c>
      <c r="C4" t="s">
        <v>8</v>
      </c>
      <c r="D4" t="s">
        <v>11</v>
      </c>
      <c r="E4" t="s">
        <v>12</v>
      </c>
      <c r="F4">
        <v>16</v>
      </c>
      <c r="G4">
        <v>16</v>
      </c>
      <c r="H4">
        <v>0</v>
      </c>
      <c r="I4">
        <v>56</v>
      </c>
      <c r="J4">
        <f>VLOOKUP(B4,'Quotazioni calciatori'!N:N,1,FALSE)</f>
        <v>4431</v>
      </c>
    </row>
    <row r="5" spans="1:10" x14ac:dyDescent="0.35">
      <c r="A5" t="str">
        <f t="shared" si="0"/>
        <v>De KetelaereAtalanta</v>
      </c>
      <c r="B5">
        <v>5995</v>
      </c>
      <c r="C5" t="s">
        <v>478</v>
      </c>
      <c r="D5" t="s">
        <v>498</v>
      </c>
      <c r="E5" t="s">
        <v>12</v>
      </c>
      <c r="F5">
        <v>15</v>
      </c>
      <c r="G5">
        <v>17</v>
      </c>
      <c r="H5">
        <v>-2</v>
      </c>
      <c r="I5">
        <v>64</v>
      </c>
      <c r="J5">
        <f>VLOOKUP(B5,'Quotazioni calciatori'!N:N,1,FALSE)</f>
        <v>5995</v>
      </c>
    </row>
    <row r="6" spans="1:10" x14ac:dyDescent="0.35">
      <c r="A6" t="str">
        <f t="shared" si="0"/>
        <v>Ederson D.S.Atalanta</v>
      </c>
      <c r="B6">
        <v>5792</v>
      </c>
      <c r="C6" t="s">
        <v>283</v>
      </c>
      <c r="D6" t="s">
        <v>305</v>
      </c>
      <c r="E6" t="s">
        <v>12</v>
      </c>
      <c r="F6">
        <v>13</v>
      </c>
      <c r="G6">
        <v>12</v>
      </c>
      <c r="H6">
        <v>1</v>
      </c>
      <c r="I6">
        <v>45</v>
      </c>
      <c r="J6">
        <f>VLOOKUP(B6,'Quotazioni calciatori'!N:N,1,FALSE)</f>
        <v>5792</v>
      </c>
    </row>
    <row r="7" spans="1:10" x14ac:dyDescent="0.35">
      <c r="A7" t="str">
        <f t="shared" si="0"/>
        <v>ElmasAtalanta</v>
      </c>
      <c r="B7">
        <v>4479</v>
      </c>
      <c r="C7" t="s">
        <v>283</v>
      </c>
      <c r="D7" t="s">
        <v>391</v>
      </c>
      <c r="E7" t="s">
        <v>12</v>
      </c>
      <c r="F7">
        <v>6</v>
      </c>
      <c r="G7">
        <v>7</v>
      </c>
      <c r="H7">
        <v>-1</v>
      </c>
      <c r="I7">
        <v>17</v>
      </c>
      <c r="J7">
        <f>VLOOKUP(B7,'Quotazioni calciatori'!N:N,1,FALSE)</f>
        <v>4479</v>
      </c>
    </row>
    <row r="8" spans="1:10" x14ac:dyDescent="0.35">
      <c r="A8" t="str">
        <f t="shared" si="0"/>
        <v>GaetanoAtalanta</v>
      </c>
      <c r="B8">
        <v>4364</v>
      </c>
      <c r="C8" t="s">
        <v>283</v>
      </c>
      <c r="D8" t="s">
        <v>378</v>
      </c>
      <c r="E8" t="s">
        <v>12</v>
      </c>
      <c r="F8">
        <v>6</v>
      </c>
      <c r="G8">
        <v>7</v>
      </c>
      <c r="H8">
        <v>-1</v>
      </c>
      <c r="I8">
        <v>23</v>
      </c>
      <c r="J8">
        <f>VLOOKUP(B8,'Quotazioni calciatori'!N:N,1,FALSE)</f>
        <v>4364</v>
      </c>
    </row>
    <row r="9" spans="1:10" x14ac:dyDescent="0.35">
      <c r="A9" t="str">
        <f t="shared" si="0"/>
        <v>HienAtalanta</v>
      </c>
      <c r="B9">
        <v>6046</v>
      </c>
      <c r="C9" t="s">
        <v>92</v>
      </c>
      <c r="D9" t="s">
        <v>160</v>
      </c>
      <c r="E9" t="s">
        <v>12</v>
      </c>
      <c r="F9">
        <v>6</v>
      </c>
      <c r="G9">
        <v>8</v>
      </c>
      <c r="H9">
        <v>-2</v>
      </c>
      <c r="I9">
        <v>10</v>
      </c>
      <c r="J9">
        <f>VLOOKUP(B9,'Quotazioni calciatori'!N:N,1,FALSE)</f>
        <v>6046</v>
      </c>
    </row>
    <row r="10" spans="1:10" x14ac:dyDescent="0.35">
      <c r="A10" t="str">
        <f t="shared" si="0"/>
        <v>KessièAtalanta</v>
      </c>
      <c r="B10">
        <v>1850</v>
      </c>
      <c r="C10" t="s">
        <v>283</v>
      </c>
      <c r="D10" t="s">
        <v>328</v>
      </c>
      <c r="E10" t="s">
        <v>12</v>
      </c>
      <c r="F10">
        <v>11</v>
      </c>
      <c r="G10">
        <v>12</v>
      </c>
      <c r="H10">
        <v>-1</v>
      </c>
      <c r="I10">
        <v>33</v>
      </c>
      <c r="J10">
        <f>VLOOKUP(B10,'Quotazioni calciatori'!N:N,1,FALSE)</f>
        <v>1850</v>
      </c>
    </row>
    <row r="11" spans="1:10" x14ac:dyDescent="0.35">
      <c r="A11" t="str">
        <f t="shared" si="0"/>
        <v>KolasinacAtalanta</v>
      </c>
      <c r="B11">
        <v>2640</v>
      </c>
      <c r="C11" t="s">
        <v>92</v>
      </c>
      <c r="D11" t="s">
        <v>161</v>
      </c>
      <c r="E11" t="s">
        <v>12</v>
      </c>
      <c r="F11">
        <v>6</v>
      </c>
      <c r="G11">
        <v>5</v>
      </c>
      <c r="H11">
        <v>1</v>
      </c>
      <c r="I11">
        <v>11</v>
      </c>
      <c r="J11">
        <f>VLOOKUP(B11,'Quotazioni calciatori'!N:N,1,FALSE)</f>
        <v>2640</v>
      </c>
    </row>
    <row r="12" spans="1:10" x14ac:dyDescent="0.35">
      <c r="A12" t="str">
        <f t="shared" si="0"/>
        <v>KossounouAtalanta</v>
      </c>
      <c r="B12">
        <v>5578</v>
      </c>
      <c r="C12" t="s">
        <v>92</v>
      </c>
      <c r="D12" t="s">
        <v>223</v>
      </c>
      <c r="E12" t="s">
        <v>12</v>
      </c>
      <c r="F12">
        <v>3</v>
      </c>
      <c r="G12">
        <v>3</v>
      </c>
      <c r="H12">
        <v>0</v>
      </c>
      <c r="I12">
        <v>12</v>
      </c>
      <c r="J12">
        <f>VLOOKUP(B12,'Quotazioni calciatori'!N:N,1,FALSE)</f>
        <v>5578</v>
      </c>
    </row>
    <row r="13" spans="1:10" x14ac:dyDescent="0.35">
      <c r="A13" t="str">
        <f t="shared" si="0"/>
        <v>Kristensen T.Atalanta</v>
      </c>
      <c r="B13">
        <v>6485</v>
      </c>
      <c r="C13" t="s">
        <v>92</v>
      </c>
      <c r="D13" t="s">
        <v>194</v>
      </c>
      <c r="E13" t="s">
        <v>12</v>
      </c>
      <c r="F13">
        <v>5</v>
      </c>
      <c r="G13">
        <v>7</v>
      </c>
      <c r="H13">
        <v>-2</v>
      </c>
      <c r="I13">
        <v>14</v>
      </c>
      <c r="J13">
        <f>VLOOKUP(B13,'Quotazioni calciatori'!N:N,1,FALSE)</f>
        <v>6485</v>
      </c>
    </row>
    <row r="14" spans="1:10" x14ac:dyDescent="0.35">
      <c r="A14" t="str">
        <f t="shared" si="0"/>
        <v>KrstovicAtalanta</v>
      </c>
      <c r="B14">
        <v>6435</v>
      </c>
      <c r="C14" t="s">
        <v>478</v>
      </c>
      <c r="D14" t="s">
        <v>494</v>
      </c>
      <c r="E14" t="s">
        <v>12</v>
      </c>
      <c r="F14">
        <v>16</v>
      </c>
      <c r="G14">
        <v>18</v>
      </c>
      <c r="H14">
        <v>-2</v>
      </c>
      <c r="I14">
        <v>80</v>
      </c>
      <c r="J14">
        <f>VLOOKUP(B14,'Quotazioni calciatori'!N:N,1,FALSE)</f>
        <v>6435</v>
      </c>
    </row>
    <row r="15" spans="1:10" x14ac:dyDescent="0.35">
      <c r="A15" t="str">
        <f t="shared" si="0"/>
        <v>PasalicAtalanta</v>
      </c>
      <c r="B15">
        <v>2077</v>
      </c>
      <c r="C15" t="s">
        <v>283</v>
      </c>
      <c r="D15" t="s">
        <v>362</v>
      </c>
      <c r="E15" t="s">
        <v>12</v>
      </c>
      <c r="F15">
        <v>7</v>
      </c>
      <c r="G15">
        <v>9</v>
      </c>
      <c r="H15">
        <v>-2</v>
      </c>
      <c r="I15">
        <v>18</v>
      </c>
      <c r="J15">
        <f>VLOOKUP(B15,'Quotazioni calciatori'!N:N,1,FALSE)</f>
        <v>2077</v>
      </c>
    </row>
    <row r="16" spans="1:10" x14ac:dyDescent="0.35">
      <c r="A16" t="str">
        <f t="shared" si="0"/>
        <v>PompeiAtalanta</v>
      </c>
      <c r="B16">
        <v>7626</v>
      </c>
      <c r="C16" t="s">
        <v>8</v>
      </c>
      <c r="D16" t="s">
        <v>91</v>
      </c>
      <c r="E16" t="s">
        <v>12</v>
      </c>
      <c r="F16">
        <v>1</v>
      </c>
      <c r="G16">
        <v>1</v>
      </c>
      <c r="H16">
        <v>0</v>
      </c>
      <c r="I16">
        <v>1</v>
      </c>
      <c r="J16">
        <f>VLOOKUP(B16,'Quotazioni calciatori'!N:N,1,FALSE)</f>
        <v>7626</v>
      </c>
    </row>
    <row r="17" spans="1:10" x14ac:dyDescent="0.35">
      <c r="A17" t="str">
        <f t="shared" si="0"/>
        <v>RaspadoriAtalanta</v>
      </c>
      <c r="B17">
        <v>4371</v>
      </c>
      <c r="C17" t="s">
        <v>478</v>
      </c>
      <c r="D17" t="s">
        <v>500</v>
      </c>
      <c r="E17" t="s">
        <v>12</v>
      </c>
      <c r="F17">
        <v>14</v>
      </c>
      <c r="G17">
        <v>13</v>
      </c>
      <c r="H17">
        <v>1</v>
      </c>
      <c r="I17">
        <v>30</v>
      </c>
      <c r="J17">
        <f>VLOOKUP(B17,'Quotazioni calciatori'!N:N,1,FALSE)</f>
        <v>4371</v>
      </c>
    </row>
    <row r="18" spans="1:10" x14ac:dyDescent="0.35">
      <c r="A18" t="str">
        <f t="shared" si="0"/>
        <v>RoweAtalanta</v>
      </c>
      <c r="B18">
        <v>6844</v>
      </c>
      <c r="C18" t="s">
        <v>283</v>
      </c>
      <c r="D18" t="s">
        <v>335</v>
      </c>
      <c r="E18" t="s">
        <v>12</v>
      </c>
      <c r="F18">
        <v>9</v>
      </c>
      <c r="G18">
        <v>11</v>
      </c>
      <c r="H18">
        <v>-2</v>
      </c>
      <c r="I18">
        <v>35</v>
      </c>
      <c r="J18">
        <f>VLOOKUP(B18,'Quotazioni calciatori'!N:N,1,FALSE)</f>
        <v>6844</v>
      </c>
    </row>
    <row r="19" spans="1:10" x14ac:dyDescent="0.35">
      <c r="A19" t="str">
        <f t="shared" si="0"/>
        <v>SamardzicAtalanta</v>
      </c>
      <c r="B19">
        <v>5119</v>
      </c>
      <c r="C19" t="s">
        <v>283</v>
      </c>
      <c r="D19" t="s">
        <v>299</v>
      </c>
      <c r="E19" t="s">
        <v>12</v>
      </c>
      <c r="F19">
        <v>14</v>
      </c>
      <c r="G19">
        <v>12</v>
      </c>
      <c r="H19">
        <v>2</v>
      </c>
      <c r="I19">
        <v>36</v>
      </c>
      <c r="J19">
        <f>VLOOKUP(B19,'Quotazioni calciatori'!N:N,1,FALSE)</f>
        <v>5119</v>
      </c>
    </row>
    <row r="20" spans="1:10" x14ac:dyDescent="0.35">
      <c r="A20" t="str">
        <f t="shared" si="0"/>
        <v>ScalviniAtalanta</v>
      </c>
      <c r="B20">
        <v>5526</v>
      </c>
      <c r="C20" t="s">
        <v>92</v>
      </c>
      <c r="D20" t="s">
        <v>111</v>
      </c>
      <c r="E20" t="s">
        <v>12</v>
      </c>
      <c r="F20">
        <v>10</v>
      </c>
      <c r="G20">
        <v>10</v>
      </c>
      <c r="H20">
        <v>0</v>
      </c>
      <c r="I20">
        <v>23</v>
      </c>
      <c r="J20">
        <f>VLOOKUP(B20,'Quotazioni calciatori'!N:N,1,FALSE)</f>
        <v>5526</v>
      </c>
    </row>
    <row r="21" spans="1:10" x14ac:dyDescent="0.35">
      <c r="A21" t="str">
        <f t="shared" si="0"/>
        <v>ScamaccaAtalanta</v>
      </c>
      <c r="B21">
        <v>2137</v>
      </c>
      <c r="C21" t="s">
        <v>478</v>
      </c>
      <c r="D21" t="s">
        <v>489</v>
      </c>
      <c r="E21" t="s">
        <v>12</v>
      </c>
      <c r="F21">
        <v>19</v>
      </c>
      <c r="G21">
        <v>19</v>
      </c>
      <c r="H21">
        <v>0</v>
      </c>
      <c r="I21">
        <v>100</v>
      </c>
      <c r="J21">
        <f>VLOOKUP(B21,'Quotazioni calciatori'!N:N,1,FALSE)</f>
        <v>2137</v>
      </c>
    </row>
    <row r="22" spans="1:10" x14ac:dyDescent="0.35">
      <c r="A22" t="str">
        <f t="shared" si="0"/>
        <v>SportielloAtalanta</v>
      </c>
      <c r="B22">
        <v>4</v>
      </c>
      <c r="C22" t="s">
        <v>8</v>
      </c>
      <c r="D22" t="s">
        <v>53</v>
      </c>
      <c r="E22" t="s">
        <v>12</v>
      </c>
      <c r="F22">
        <v>1</v>
      </c>
      <c r="G22">
        <v>1</v>
      </c>
      <c r="H22">
        <v>0</v>
      </c>
      <c r="I22">
        <v>1</v>
      </c>
      <c r="J22">
        <f>VLOOKUP(B22,'Quotazioni calciatori'!N:N,1,FALSE)</f>
        <v>4</v>
      </c>
    </row>
    <row r="23" spans="1:10" x14ac:dyDescent="0.35">
      <c r="A23" t="str">
        <f t="shared" si="0"/>
        <v>Sulemana K.Atalanta</v>
      </c>
      <c r="B23">
        <v>5918</v>
      </c>
      <c r="C23" t="s">
        <v>478</v>
      </c>
      <c r="D23" t="s">
        <v>544</v>
      </c>
      <c r="E23" t="s">
        <v>12</v>
      </c>
      <c r="F23">
        <v>4</v>
      </c>
      <c r="G23">
        <v>6</v>
      </c>
      <c r="H23">
        <v>-2</v>
      </c>
      <c r="I23">
        <v>4</v>
      </c>
      <c r="J23">
        <f>VLOOKUP(B23,'Quotazioni calciatori'!N:N,1,FALSE)</f>
        <v>5918</v>
      </c>
    </row>
    <row r="24" spans="1:10" x14ac:dyDescent="0.35">
      <c r="A24" t="str">
        <f t="shared" si="0"/>
        <v>ZalewskiAtalanta</v>
      </c>
      <c r="B24">
        <v>5422</v>
      </c>
      <c r="C24" t="s">
        <v>283</v>
      </c>
      <c r="D24" t="s">
        <v>379</v>
      </c>
      <c r="E24" t="s">
        <v>12</v>
      </c>
      <c r="F24">
        <v>6</v>
      </c>
      <c r="G24">
        <v>6</v>
      </c>
      <c r="H24">
        <v>0</v>
      </c>
      <c r="I24">
        <v>11</v>
      </c>
      <c r="J24">
        <f>VLOOKUP(B24,'Quotazioni calciatori'!N:N,1,FALSE)</f>
        <v>5422</v>
      </c>
    </row>
    <row r="25" spans="1:10" x14ac:dyDescent="0.35">
      <c r="A25" t="str">
        <f t="shared" si="0"/>
        <v>ZappacostaAtalanta</v>
      </c>
      <c r="B25">
        <v>554</v>
      </c>
      <c r="C25" t="s">
        <v>92</v>
      </c>
      <c r="D25" t="s">
        <v>148</v>
      </c>
      <c r="E25" t="s">
        <v>12</v>
      </c>
      <c r="F25">
        <v>7</v>
      </c>
      <c r="G25">
        <v>8</v>
      </c>
      <c r="H25">
        <v>-1</v>
      </c>
      <c r="I25">
        <v>14</v>
      </c>
      <c r="J25">
        <f>VLOOKUP(B25,'Quotazioni calciatori'!N:N,1,FALSE)</f>
        <v>554</v>
      </c>
    </row>
    <row r="26" spans="1:10" x14ac:dyDescent="0.35">
      <c r="A26" t="str">
        <f t="shared" si="0"/>
        <v>AlhassaneBologna</v>
      </c>
      <c r="B26">
        <v>7483</v>
      </c>
      <c r="C26" t="s">
        <v>92</v>
      </c>
      <c r="D26" t="s">
        <v>239</v>
      </c>
      <c r="E26" t="s">
        <v>28</v>
      </c>
      <c r="F26">
        <v>2</v>
      </c>
      <c r="G26">
        <v>2</v>
      </c>
      <c r="H26">
        <v>0</v>
      </c>
      <c r="I26">
        <v>6</v>
      </c>
      <c r="J26">
        <f>VLOOKUP(B26,'Quotazioni calciatori'!N:N,1,FALSE)</f>
        <v>7483</v>
      </c>
    </row>
    <row r="27" spans="1:10" x14ac:dyDescent="0.35">
      <c r="A27" t="str">
        <f t="shared" si="0"/>
        <v>AmondarainBologna</v>
      </c>
      <c r="B27">
        <v>7528</v>
      </c>
      <c r="C27" t="s">
        <v>283</v>
      </c>
      <c r="D27" t="s">
        <v>409</v>
      </c>
      <c r="E27" t="s">
        <v>28</v>
      </c>
      <c r="F27">
        <v>4</v>
      </c>
      <c r="G27">
        <v>5</v>
      </c>
      <c r="H27">
        <v>-1</v>
      </c>
      <c r="I27">
        <v>11</v>
      </c>
      <c r="J27">
        <f>VLOOKUP(B27,'Quotazioni calciatori'!N:N,1,FALSE)</f>
        <v>7528</v>
      </c>
    </row>
    <row r="28" spans="1:10" x14ac:dyDescent="0.35">
      <c r="A28" t="str">
        <f t="shared" si="0"/>
        <v>BernardeschiBologna</v>
      </c>
      <c r="B28">
        <v>184</v>
      </c>
      <c r="C28" t="s">
        <v>283</v>
      </c>
      <c r="D28" t="s">
        <v>310</v>
      </c>
      <c r="E28" t="s">
        <v>28</v>
      </c>
      <c r="F28">
        <v>12</v>
      </c>
      <c r="G28">
        <v>9</v>
      </c>
      <c r="H28">
        <v>3</v>
      </c>
      <c r="I28">
        <v>35</v>
      </c>
      <c r="J28">
        <f>VLOOKUP(B28,'Quotazioni calciatori'!N:N,1,FALSE)</f>
        <v>184</v>
      </c>
    </row>
    <row r="29" spans="1:10" x14ac:dyDescent="0.35">
      <c r="A29" t="str">
        <f t="shared" si="0"/>
        <v>CambiaghiBologna</v>
      </c>
      <c r="B29">
        <v>4436</v>
      </c>
      <c r="C29" t="s">
        <v>283</v>
      </c>
      <c r="D29" t="s">
        <v>347</v>
      </c>
      <c r="E29" t="s">
        <v>28</v>
      </c>
      <c r="F29">
        <v>8</v>
      </c>
      <c r="G29">
        <v>8</v>
      </c>
      <c r="H29">
        <v>0</v>
      </c>
      <c r="I29">
        <v>22</v>
      </c>
      <c r="J29">
        <f>VLOOKUP(B29,'Quotazioni calciatori'!N:N,1,FALSE)</f>
        <v>4436</v>
      </c>
    </row>
    <row r="30" spans="1:10" x14ac:dyDescent="0.35">
      <c r="A30" t="str">
        <f t="shared" si="0"/>
        <v>CasaleBologna</v>
      </c>
      <c r="B30">
        <v>5498</v>
      </c>
      <c r="C30" t="s">
        <v>92</v>
      </c>
      <c r="D30" t="s">
        <v>237</v>
      </c>
      <c r="E30" t="s">
        <v>28</v>
      </c>
      <c r="F30">
        <v>2</v>
      </c>
      <c r="G30">
        <v>3</v>
      </c>
      <c r="H30">
        <v>-1</v>
      </c>
      <c r="I30">
        <v>5</v>
      </c>
      <c r="J30">
        <f>VLOOKUP(B30,'Quotazioni calciatori'!N:N,1,FALSE)</f>
        <v>5498</v>
      </c>
    </row>
    <row r="31" spans="1:10" x14ac:dyDescent="0.35">
      <c r="A31" t="str">
        <f t="shared" si="0"/>
        <v>De SilvestriBologna</v>
      </c>
      <c r="B31">
        <v>487</v>
      </c>
      <c r="C31" t="s">
        <v>92</v>
      </c>
      <c r="D31" t="s">
        <v>238</v>
      </c>
      <c r="E31" t="s">
        <v>28</v>
      </c>
      <c r="F31">
        <v>2</v>
      </c>
      <c r="G31">
        <v>1</v>
      </c>
      <c r="H31">
        <v>1</v>
      </c>
      <c r="I31">
        <v>4</v>
      </c>
      <c r="J31">
        <f>VLOOKUP(B31,'Quotazioni calciatori'!N:N,1,FALSE)</f>
        <v>487</v>
      </c>
    </row>
    <row r="32" spans="1:10" x14ac:dyDescent="0.35">
      <c r="A32" t="str">
        <f t="shared" si="0"/>
        <v>DovbykBologna</v>
      </c>
      <c r="B32">
        <v>6675</v>
      </c>
      <c r="C32" t="s">
        <v>478</v>
      </c>
      <c r="D32" t="s">
        <v>499</v>
      </c>
      <c r="E32" t="s">
        <v>28</v>
      </c>
      <c r="F32">
        <v>15</v>
      </c>
      <c r="G32">
        <v>16</v>
      </c>
      <c r="H32">
        <v>-1</v>
      </c>
      <c r="I32">
        <v>33</v>
      </c>
      <c r="J32">
        <f>VLOOKUP(B32,'Quotazioni calciatori'!N:N,1,FALSE)</f>
        <v>6675</v>
      </c>
    </row>
    <row r="33" spans="1:10" x14ac:dyDescent="0.35">
      <c r="A33" t="str">
        <f t="shared" si="0"/>
        <v>El Azzouzi O.Bologna</v>
      </c>
      <c r="B33">
        <v>6225</v>
      </c>
      <c r="C33" t="s">
        <v>283</v>
      </c>
      <c r="D33" t="s">
        <v>448</v>
      </c>
      <c r="E33" t="s">
        <v>28</v>
      </c>
      <c r="F33">
        <v>2</v>
      </c>
      <c r="G33">
        <v>2</v>
      </c>
      <c r="H33">
        <v>0</v>
      </c>
      <c r="I33">
        <v>9</v>
      </c>
      <c r="J33">
        <f>VLOOKUP(B33,'Quotazioni calciatori'!N:N,1,FALSE)</f>
        <v>6225</v>
      </c>
    </row>
    <row r="34" spans="1:10" x14ac:dyDescent="0.35">
      <c r="A34" t="str">
        <f t="shared" si="0"/>
        <v>EnemBologna</v>
      </c>
      <c r="B34">
        <v>7627</v>
      </c>
      <c r="C34" t="s">
        <v>478</v>
      </c>
      <c r="D34" t="s">
        <v>565</v>
      </c>
      <c r="E34" t="s">
        <v>28</v>
      </c>
      <c r="F34">
        <v>1</v>
      </c>
      <c r="G34">
        <v>2</v>
      </c>
      <c r="H34">
        <v>-1</v>
      </c>
      <c r="I34">
        <v>4</v>
      </c>
      <c r="J34">
        <f>VLOOKUP(B34,'Quotazioni calciatori'!N:N,1,FALSE)</f>
        <v>7627</v>
      </c>
    </row>
    <row r="35" spans="1:10" x14ac:dyDescent="0.35">
      <c r="A35" t="str">
        <f t="shared" si="0"/>
        <v>FergusonBologna</v>
      </c>
      <c r="B35">
        <v>5858</v>
      </c>
      <c r="C35" t="s">
        <v>283</v>
      </c>
      <c r="D35" t="s">
        <v>345</v>
      </c>
      <c r="E35" t="s">
        <v>28</v>
      </c>
      <c r="F35">
        <v>8</v>
      </c>
      <c r="G35">
        <v>7</v>
      </c>
      <c r="H35">
        <v>1</v>
      </c>
      <c r="I35">
        <v>22</v>
      </c>
      <c r="J35">
        <f>VLOOKUP(B35,'Quotazioni calciatori'!N:N,1,FALSE)</f>
        <v>5858</v>
      </c>
    </row>
    <row r="36" spans="1:10" x14ac:dyDescent="0.35">
      <c r="A36" t="str">
        <f t="shared" si="0"/>
        <v>HapponenBologna</v>
      </c>
      <c r="B36">
        <v>7533</v>
      </c>
      <c r="C36" t="s">
        <v>8</v>
      </c>
      <c r="D36" t="s">
        <v>54</v>
      </c>
      <c r="E36" t="s">
        <v>28</v>
      </c>
      <c r="F36">
        <v>1</v>
      </c>
      <c r="G36">
        <v>1</v>
      </c>
      <c r="H36">
        <v>0</v>
      </c>
      <c r="I36">
        <v>1</v>
      </c>
      <c r="J36">
        <f>VLOOKUP(B36,'Quotazioni calciatori'!N:N,1,FALSE)</f>
        <v>7533</v>
      </c>
    </row>
    <row r="37" spans="1:10" x14ac:dyDescent="0.35">
      <c r="A37" t="str">
        <f t="shared" si="0"/>
        <v>HeggemBologna</v>
      </c>
      <c r="B37">
        <v>7212</v>
      </c>
      <c r="C37" t="s">
        <v>92</v>
      </c>
      <c r="D37" t="s">
        <v>180</v>
      </c>
      <c r="E37" t="s">
        <v>28</v>
      </c>
      <c r="F37">
        <v>5</v>
      </c>
      <c r="G37">
        <v>6</v>
      </c>
      <c r="H37">
        <v>-1</v>
      </c>
      <c r="I37">
        <v>14</v>
      </c>
      <c r="J37">
        <f>VLOOKUP(B37,'Quotazioni calciatori'!N:N,1,FALSE)</f>
        <v>7212</v>
      </c>
    </row>
    <row r="38" spans="1:10" x14ac:dyDescent="0.35">
      <c r="A38" t="str">
        <f t="shared" si="0"/>
        <v>HellandBologna</v>
      </c>
      <c r="B38">
        <v>7326</v>
      </c>
      <c r="C38" t="s">
        <v>92</v>
      </c>
      <c r="D38" t="s">
        <v>179</v>
      </c>
      <c r="E38" t="s">
        <v>28</v>
      </c>
      <c r="F38">
        <v>5</v>
      </c>
      <c r="G38">
        <v>2</v>
      </c>
      <c r="H38">
        <v>3</v>
      </c>
      <c r="I38">
        <v>12</v>
      </c>
      <c r="J38">
        <f>VLOOKUP(B38,'Quotazioni calciatori'!N:N,1,FALSE)</f>
        <v>7326</v>
      </c>
    </row>
    <row r="39" spans="1:10" x14ac:dyDescent="0.35">
      <c r="A39" t="str">
        <f t="shared" si="0"/>
        <v>HolmBologna</v>
      </c>
      <c r="B39">
        <v>5678</v>
      </c>
      <c r="C39" t="s">
        <v>92</v>
      </c>
      <c r="D39" t="s">
        <v>162</v>
      </c>
      <c r="E39" t="s">
        <v>28</v>
      </c>
      <c r="F39">
        <v>6</v>
      </c>
      <c r="G39">
        <v>5</v>
      </c>
      <c r="H39">
        <v>1</v>
      </c>
      <c r="I39">
        <v>11</v>
      </c>
      <c r="J39">
        <f>VLOOKUP(B39,'Quotazioni calciatori'!N:N,1,FALSE)</f>
        <v>5678</v>
      </c>
    </row>
    <row r="40" spans="1:10" x14ac:dyDescent="0.35">
      <c r="A40" t="str">
        <f t="shared" si="0"/>
        <v>LibraBologna</v>
      </c>
      <c r="B40">
        <v>7629</v>
      </c>
      <c r="C40" t="s">
        <v>283</v>
      </c>
      <c r="D40" t="s">
        <v>476</v>
      </c>
      <c r="E40" t="s">
        <v>28</v>
      </c>
      <c r="F40">
        <v>1</v>
      </c>
      <c r="G40">
        <v>1</v>
      </c>
      <c r="H40">
        <v>0</v>
      </c>
      <c r="I40">
        <v>2</v>
      </c>
      <c r="J40" t="e">
        <f>VLOOKUP(B40,'Quotazioni calciatori'!N:N,1,FALSE)</f>
        <v>#N/A</v>
      </c>
    </row>
    <row r="41" spans="1:10" x14ac:dyDescent="0.35">
      <c r="A41" t="str">
        <f t="shared" si="0"/>
        <v>MbangulaBologna</v>
      </c>
      <c r="B41">
        <v>6833</v>
      </c>
      <c r="C41" t="s">
        <v>283</v>
      </c>
      <c r="D41" t="s">
        <v>375</v>
      </c>
      <c r="E41" t="s">
        <v>28</v>
      </c>
      <c r="F41">
        <v>7</v>
      </c>
      <c r="G41">
        <v>8</v>
      </c>
      <c r="H41">
        <v>-1</v>
      </c>
      <c r="I41">
        <v>16</v>
      </c>
      <c r="J41">
        <f>VLOOKUP(B41,'Quotazioni calciatori'!N:N,1,FALSE)</f>
        <v>6833</v>
      </c>
    </row>
    <row r="42" spans="1:10" x14ac:dyDescent="0.35">
      <c r="A42" t="str">
        <f t="shared" si="0"/>
        <v>Miranda J.Bologna</v>
      </c>
      <c r="B42">
        <v>4734</v>
      </c>
      <c r="C42" t="s">
        <v>92</v>
      </c>
      <c r="D42" t="s">
        <v>112</v>
      </c>
      <c r="E42" t="s">
        <v>28</v>
      </c>
      <c r="F42">
        <v>10</v>
      </c>
      <c r="G42">
        <v>8</v>
      </c>
      <c r="H42">
        <v>2</v>
      </c>
      <c r="I42">
        <v>22</v>
      </c>
      <c r="J42">
        <f>VLOOKUP(B42,'Quotazioni calciatori'!N:N,1,FALSE)</f>
        <v>4734</v>
      </c>
    </row>
    <row r="43" spans="1:10" x14ac:dyDescent="0.35">
      <c r="A43" t="str">
        <f t="shared" si="0"/>
        <v>Moro N.Bologna</v>
      </c>
      <c r="B43">
        <v>6054</v>
      </c>
      <c r="C43" t="s">
        <v>283</v>
      </c>
      <c r="D43" t="s">
        <v>393</v>
      </c>
      <c r="E43" t="s">
        <v>28</v>
      </c>
      <c r="F43">
        <v>5</v>
      </c>
      <c r="G43">
        <v>4</v>
      </c>
      <c r="H43">
        <v>1</v>
      </c>
      <c r="I43">
        <v>14</v>
      </c>
      <c r="J43">
        <f>VLOOKUP(B43,'Quotazioni calciatori'!N:N,1,FALSE)</f>
        <v>6054</v>
      </c>
    </row>
    <row r="44" spans="1:10" x14ac:dyDescent="0.35">
      <c r="A44" t="str">
        <f t="shared" si="0"/>
        <v>OdgaardBologna</v>
      </c>
      <c r="B44">
        <v>2765</v>
      </c>
      <c r="C44" t="s">
        <v>283</v>
      </c>
      <c r="D44" t="s">
        <v>363</v>
      </c>
      <c r="E44" t="s">
        <v>28</v>
      </c>
      <c r="F44">
        <v>7</v>
      </c>
      <c r="G44">
        <v>8</v>
      </c>
      <c r="H44">
        <v>-1</v>
      </c>
      <c r="I44">
        <v>13</v>
      </c>
      <c r="J44">
        <f>VLOOKUP(B44,'Quotazioni calciatori'!N:N,1,FALSE)</f>
        <v>2765</v>
      </c>
    </row>
    <row r="45" spans="1:10" x14ac:dyDescent="0.35">
      <c r="A45" t="str">
        <f t="shared" si="0"/>
        <v>OrsoliniBologna</v>
      </c>
      <c r="B45">
        <v>2167</v>
      </c>
      <c r="C45" t="s">
        <v>283</v>
      </c>
      <c r="D45" t="s">
        <v>289</v>
      </c>
      <c r="E45" t="s">
        <v>28</v>
      </c>
      <c r="F45">
        <v>23</v>
      </c>
      <c r="G45">
        <v>26</v>
      </c>
      <c r="H45">
        <v>-3</v>
      </c>
      <c r="I45">
        <v>138</v>
      </c>
      <c r="J45">
        <f>VLOOKUP(B45,'Quotazioni calciatori'!N:N,1,FALSE)</f>
        <v>2167</v>
      </c>
    </row>
    <row r="46" spans="1:10" x14ac:dyDescent="0.35">
      <c r="A46" t="str">
        <f t="shared" si="0"/>
        <v>Pessina Mas.Bologna</v>
      </c>
      <c r="B46">
        <v>7172</v>
      </c>
      <c r="C46" t="s">
        <v>8</v>
      </c>
      <c r="D46" t="s">
        <v>55</v>
      </c>
      <c r="E46" t="s">
        <v>28</v>
      </c>
      <c r="F46">
        <v>1</v>
      </c>
      <c r="G46">
        <v>1</v>
      </c>
      <c r="H46">
        <v>0</v>
      </c>
      <c r="I46">
        <v>1</v>
      </c>
      <c r="J46" t="e">
        <f>VLOOKUP(B46,'Quotazioni calciatori'!N:N,1,FALSE)</f>
        <v>#N/A</v>
      </c>
    </row>
    <row r="47" spans="1:10" x14ac:dyDescent="0.35">
      <c r="A47" t="str">
        <f t="shared" si="0"/>
        <v>PiccoliBologna</v>
      </c>
      <c r="B47">
        <v>4359</v>
      </c>
      <c r="C47" t="s">
        <v>478</v>
      </c>
      <c r="D47" t="s">
        <v>522</v>
      </c>
      <c r="E47" t="s">
        <v>28</v>
      </c>
      <c r="F47">
        <v>9</v>
      </c>
      <c r="G47">
        <v>8</v>
      </c>
      <c r="H47">
        <v>1</v>
      </c>
      <c r="I47">
        <v>41</v>
      </c>
      <c r="J47">
        <f>VLOOKUP(B47,'Quotazioni calciatori'!N:N,1,FALSE)</f>
        <v>4359</v>
      </c>
    </row>
    <row r="48" spans="1:10" x14ac:dyDescent="0.35">
      <c r="A48" t="str">
        <f t="shared" si="0"/>
        <v>PobegaBologna</v>
      </c>
      <c r="B48">
        <v>5298</v>
      </c>
      <c r="C48" t="s">
        <v>283</v>
      </c>
      <c r="D48" t="s">
        <v>346</v>
      </c>
      <c r="E48" t="s">
        <v>28</v>
      </c>
      <c r="F48">
        <v>8</v>
      </c>
      <c r="G48">
        <v>6</v>
      </c>
      <c r="H48">
        <v>2</v>
      </c>
      <c r="I48">
        <v>12</v>
      </c>
      <c r="J48">
        <f>VLOOKUP(B48,'Quotazioni calciatori'!N:N,1,FALSE)</f>
        <v>5298</v>
      </c>
    </row>
    <row r="49" spans="1:10" x14ac:dyDescent="0.35">
      <c r="A49" t="str">
        <f t="shared" si="0"/>
        <v>SkorupskiBologna</v>
      </c>
      <c r="B49">
        <v>133</v>
      </c>
      <c r="C49" t="s">
        <v>8</v>
      </c>
      <c r="D49" t="s">
        <v>27</v>
      </c>
      <c r="E49" t="s">
        <v>28</v>
      </c>
      <c r="F49">
        <v>9</v>
      </c>
      <c r="G49">
        <v>10</v>
      </c>
      <c r="H49">
        <v>-1</v>
      </c>
      <c r="I49">
        <v>23</v>
      </c>
      <c r="J49">
        <f>VLOOKUP(B49,'Quotazioni calciatori'!N:N,1,FALSE)</f>
        <v>133</v>
      </c>
    </row>
    <row r="50" spans="1:10" x14ac:dyDescent="0.35">
      <c r="A50" t="str">
        <f t="shared" si="0"/>
        <v>TheateBologna</v>
      </c>
      <c r="B50">
        <v>5675</v>
      </c>
      <c r="C50" t="s">
        <v>92</v>
      </c>
      <c r="D50" t="s">
        <v>145</v>
      </c>
      <c r="E50" t="s">
        <v>28</v>
      </c>
      <c r="F50">
        <v>8</v>
      </c>
      <c r="G50">
        <v>8</v>
      </c>
      <c r="H50">
        <v>0</v>
      </c>
      <c r="I50">
        <v>20</v>
      </c>
      <c r="J50">
        <f>VLOOKUP(B50,'Quotazioni calciatori'!N:N,1,FALSE)</f>
        <v>5675</v>
      </c>
    </row>
    <row r="51" spans="1:10" x14ac:dyDescent="0.35">
      <c r="A51" t="str">
        <f t="shared" si="0"/>
        <v>VitikBologna</v>
      </c>
      <c r="B51">
        <v>7068</v>
      </c>
      <c r="C51" t="s">
        <v>92</v>
      </c>
      <c r="D51" t="s">
        <v>201</v>
      </c>
      <c r="E51" t="s">
        <v>28</v>
      </c>
      <c r="F51">
        <v>4</v>
      </c>
      <c r="G51">
        <v>5</v>
      </c>
      <c r="H51">
        <v>-1</v>
      </c>
      <c r="I51">
        <v>9</v>
      </c>
      <c r="J51">
        <f>VLOOKUP(B51,'Quotazioni calciatori'!N:N,1,FALSE)</f>
        <v>7068</v>
      </c>
    </row>
    <row r="52" spans="1:10" x14ac:dyDescent="0.35">
      <c r="A52" t="str">
        <f t="shared" si="0"/>
        <v>ZorteaBologna</v>
      </c>
      <c r="B52">
        <v>4433</v>
      </c>
      <c r="C52" t="s">
        <v>92</v>
      </c>
      <c r="D52" t="s">
        <v>163</v>
      </c>
      <c r="E52" t="s">
        <v>28</v>
      </c>
      <c r="F52">
        <v>6</v>
      </c>
      <c r="G52">
        <v>6</v>
      </c>
      <c r="H52">
        <v>0</v>
      </c>
      <c r="I52">
        <v>17</v>
      </c>
      <c r="J52">
        <f>VLOOKUP(B52,'Quotazioni calciatori'!N:N,1,FALSE)</f>
        <v>4433</v>
      </c>
    </row>
    <row r="53" spans="1:10" x14ac:dyDescent="0.35">
      <c r="A53" t="str">
        <f t="shared" si="0"/>
        <v>AdopoCagliari</v>
      </c>
      <c r="B53">
        <v>4870</v>
      </c>
      <c r="C53" t="s">
        <v>283</v>
      </c>
      <c r="D53" t="s">
        <v>336</v>
      </c>
      <c r="E53" t="s">
        <v>20</v>
      </c>
      <c r="F53">
        <v>9</v>
      </c>
      <c r="G53">
        <v>6</v>
      </c>
      <c r="H53">
        <v>3</v>
      </c>
      <c r="I53">
        <v>12</v>
      </c>
      <c r="J53">
        <f>VLOOKUP(B53,'Quotazioni calciatori'!N:N,1,FALSE)</f>
        <v>4870</v>
      </c>
    </row>
    <row r="54" spans="1:10" x14ac:dyDescent="0.35">
      <c r="A54" t="str">
        <f t="shared" si="0"/>
        <v>AurelioCagliari</v>
      </c>
      <c r="B54">
        <v>7548</v>
      </c>
      <c r="C54" t="s">
        <v>92</v>
      </c>
      <c r="D54" t="s">
        <v>277</v>
      </c>
      <c r="E54" t="s">
        <v>20</v>
      </c>
      <c r="F54">
        <v>1</v>
      </c>
      <c r="G54">
        <v>2</v>
      </c>
      <c r="H54">
        <v>-1</v>
      </c>
      <c r="I54">
        <v>5</v>
      </c>
      <c r="J54">
        <f>VLOOKUP(B54,'Quotazioni calciatori'!N:N,1,FALSE)</f>
        <v>7548</v>
      </c>
    </row>
    <row r="55" spans="1:10" x14ac:dyDescent="0.35">
      <c r="A55" t="str">
        <f t="shared" si="0"/>
        <v>CaprileCagliari</v>
      </c>
      <c r="B55">
        <v>4360</v>
      </c>
      <c r="C55" t="s">
        <v>8</v>
      </c>
      <c r="D55" t="s">
        <v>19</v>
      </c>
      <c r="E55" t="s">
        <v>20</v>
      </c>
      <c r="F55">
        <v>13</v>
      </c>
      <c r="G55">
        <v>9</v>
      </c>
      <c r="H55">
        <v>4</v>
      </c>
      <c r="I55">
        <v>30</v>
      </c>
      <c r="J55">
        <f>VLOOKUP(B55,'Quotazioni calciatori'!N:N,1,FALSE)</f>
        <v>4360</v>
      </c>
    </row>
    <row r="56" spans="1:10" x14ac:dyDescent="0.35">
      <c r="A56" t="str">
        <f t="shared" si="0"/>
        <v>CiervoCagliari</v>
      </c>
      <c r="B56">
        <v>5462</v>
      </c>
      <c r="C56" t="s">
        <v>283</v>
      </c>
      <c r="D56" t="s">
        <v>474</v>
      </c>
      <c r="E56" t="s">
        <v>20</v>
      </c>
      <c r="F56">
        <v>1</v>
      </c>
      <c r="G56">
        <v>1</v>
      </c>
      <c r="H56">
        <v>0</v>
      </c>
      <c r="I56">
        <v>1</v>
      </c>
      <c r="J56">
        <f>VLOOKUP(B56,'Quotazioni calciatori'!N:N,1,FALSE)</f>
        <v>5462</v>
      </c>
    </row>
    <row r="57" spans="1:10" x14ac:dyDescent="0.35">
      <c r="A57" t="str">
        <f t="shared" si="0"/>
        <v>DeiolaCagliari</v>
      </c>
      <c r="B57">
        <v>1871</v>
      </c>
      <c r="C57" t="s">
        <v>283</v>
      </c>
      <c r="D57" t="s">
        <v>395</v>
      </c>
      <c r="E57" t="s">
        <v>20</v>
      </c>
      <c r="F57">
        <v>5</v>
      </c>
      <c r="G57">
        <v>3</v>
      </c>
      <c r="H57">
        <v>2</v>
      </c>
      <c r="I57">
        <v>10</v>
      </c>
      <c r="J57">
        <f>VLOOKUP(B57,'Quotazioni calciatori'!N:N,1,FALSE)</f>
        <v>1871</v>
      </c>
    </row>
    <row r="58" spans="1:10" x14ac:dyDescent="0.35">
      <c r="A58" t="str">
        <f t="shared" si="0"/>
        <v>FaderaCagliari</v>
      </c>
      <c r="B58">
        <v>6815</v>
      </c>
      <c r="C58" t="s">
        <v>283</v>
      </c>
      <c r="D58" t="s">
        <v>411</v>
      </c>
      <c r="E58" t="s">
        <v>20</v>
      </c>
      <c r="F58">
        <v>4</v>
      </c>
      <c r="G58">
        <v>2</v>
      </c>
      <c r="H58">
        <v>2</v>
      </c>
      <c r="I58">
        <v>12</v>
      </c>
      <c r="J58">
        <f>VLOOKUP(B58,'Quotazioni calciatori'!N:N,1,FALSE)</f>
        <v>6815</v>
      </c>
    </row>
    <row r="59" spans="1:10" x14ac:dyDescent="0.35">
      <c r="A59" t="str">
        <f t="shared" si="0"/>
        <v>FazziniCagliari</v>
      </c>
      <c r="B59">
        <v>6010</v>
      </c>
      <c r="C59" t="s">
        <v>283</v>
      </c>
      <c r="D59" t="s">
        <v>364</v>
      </c>
      <c r="E59" t="s">
        <v>20</v>
      </c>
      <c r="F59">
        <v>7</v>
      </c>
      <c r="G59">
        <v>7</v>
      </c>
      <c r="H59">
        <v>0</v>
      </c>
      <c r="I59">
        <v>25</v>
      </c>
      <c r="J59">
        <f>VLOOKUP(B59,'Quotazioni calciatori'!N:N,1,FALSE)</f>
        <v>6010</v>
      </c>
    </row>
    <row r="60" spans="1:10" x14ac:dyDescent="0.35">
      <c r="A60" t="str">
        <f t="shared" si="0"/>
        <v>FeliciCagliari</v>
      </c>
      <c r="B60">
        <v>6640</v>
      </c>
      <c r="C60" t="s">
        <v>283</v>
      </c>
      <c r="D60" t="s">
        <v>410</v>
      </c>
      <c r="E60" t="s">
        <v>20</v>
      </c>
      <c r="F60">
        <v>4</v>
      </c>
      <c r="G60">
        <v>5</v>
      </c>
      <c r="H60">
        <v>-1</v>
      </c>
      <c r="I60">
        <v>7</v>
      </c>
      <c r="J60">
        <f>VLOOKUP(B60,'Quotazioni calciatori'!N:N,1,FALSE)</f>
        <v>6640</v>
      </c>
    </row>
    <row r="61" spans="1:10" x14ac:dyDescent="0.35">
      <c r="A61" t="str">
        <f t="shared" si="0"/>
        <v>GagliardiniCagliari</v>
      </c>
      <c r="B61">
        <v>801</v>
      </c>
      <c r="C61" t="s">
        <v>283</v>
      </c>
      <c r="D61" t="s">
        <v>446</v>
      </c>
      <c r="E61" t="s">
        <v>20</v>
      </c>
      <c r="F61">
        <v>3</v>
      </c>
      <c r="G61">
        <v>3</v>
      </c>
      <c r="H61">
        <v>0</v>
      </c>
      <c r="I61">
        <v>8</v>
      </c>
      <c r="J61">
        <f>VLOOKUP(B61,'Quotazioni calciatori'!N:N,1,FALSE)</f>
        <v>801</v>
      </c>
    </row>
    <row r="62" spans="1:10" x14ac:dyDescent="0.35">
      <c r="A62" t="str">
        <f t="shared" si="0"/>
        <v>Idrissi R.Cagliari</v>
      </c>
      <c r="B62">
        <v>7125</v>
      </c>
      <c r="C62" t="s">
        <v>92</v>
      </c>
      <c r="D62" t="s">
        <v>240</v>
      </c>
      <c r="E62" t="s">
        <v>20</v>
      </c>
      <c r="F62">
        <v>2</v>
      </c>
      <c r="G62">
        <v>3</v>
      </c>
      <c r="H62">
        <v>-1</v>
      </c>
      <c r="I62">
        <v>3</v>
      </c>
      <c r="J62">
        <f>VLOOKUP(B62,'Quotazioni calciatori'!N:N,1,FALSE)</f>
        <v>7125</v>
      </c>
    </row>
    <row r="63" spans="1:10" x14ac:dyDescent="0.35">
      <c r="A63" t="str">
        <f t="shared" si="0"/>
        <v>Kevin CarlosCagliari</v>
      </c>
      <c r="B63">
        <v>7547</v>
      </c>
      <c r="C63" t="s">
        <v>478</v>
      </c>
      <c r="D63" t="s">
        <v>520</v>
      </c>
      <c r="E63" t="s">
        <v>20</v>
      </c>
      <c r="F63">
        <v>10</v>
      </c>
      <c r="G63">
        <v>13</v>
      </c>
      <c r="H63">
        <v>-3</v>
      </c>
      <c r="I63">
        <v>20</v>
      </c>
      <c r="J63">
        <f>VLOOKUP(B63,'Quotazioni calciatori'!N:N,1,FALSE)</f>
        <v>7547</v>
      </c>
    </row>
    <row r="64" spans="1:10" x14ac:dyDescent="0.35">
      <c r="A64" t="str">
        <f t="shared" si="0"/>
        <v>KoflerCagliari</v>
      </c>
      <c r="B64">
        <v>7532</v>
      </c>
      <c r="C64" t="s">
        <v>92</v>
      </c>
      <c r="D64" t="s">
        <v>181</v>
      </c>
      <c r="E64" t="s">
        <v>20</v>
      </c>
      <c r="F64">
        <v>5</v>
      </c>
      <c r="G64">
        <v>5</v>
      </c>
      <c r="H64">
        <v>0</v>
      </c>
      <c r="I64">
        <v>4</v>
      </c>
      <c r="J64">
        <f>VLOOKUP(B64,'Quotazioni calciatori'!N:N,1,FALSE)</f>
        <v>7532</v>
      </c>
    </row>
    <row r="65" spans="1:10" x14ac:dyDescent="0.35">
      <c r="A65" t="str">
        <f t="shared" si="0"/>
        <v>LitetaCagliari</v>
      </c>
      <c r="B65">
        <v>7165</v>
      </c>
      <c r="C65" t="s">
        <v>283</v>
      </c>
      <c r="D65" t="s">
        <v>459</v>
      </c>
      <c r="E65" t="s">
        <v>20</v>
      </c>
      <c r="F65">
        <v>1</v>
      </c>
      <c r="G65">
        <v>1</v>
      </c>
      <c r="H65">
        <v>0</v>
      </c>
      <c r="I65">
        <v>1</v>
      </c>
      <c r="J65">
        <f>VLOOKUP(B65,'Quotazioni calciatori'!N:N,1,FALSE)</f>
        <v>7165</v>
      </c>
    </row>
    <row r="66" spans="1:10" x14ac:dyDescent="0.35">
      <c r="A66" t="str">
        <f t="shared" ref="A66:A129" si="1">CONCATENATE(D66,E66)</f>
        <v>MaldiniCagliari</v>
      </c>
      <c r="B66">
        <v>4896</v>
      </c>
      <c r="C66" t="s">
        <v>478</v>
      </c>
      <c r="D66" t="s">
        <v>511</v>
      </c>
      <c r="E66" t="s">
        <v>20</v>
      </c>
      <c r="F66">
        <v>11</v>
      </c>
      <c r="G66">
        <v>5</v>
      </c>
      <c r="H66">
        <v>6</v>
      </c>
      <c r="I66">
        <v>45</v>
      </c>
      <c r="J66">
        <f>VLOOKUP(B66,'Quotazioni calciatori'!N:N,1,FALSE)</f>
        <v>4896</v>
      </c>
    </row>
    <row r="67" spans="1:10" x14ac:dyDescent="0.35">
      <c r="A67" t="str">
        <f t="shared" si="1"/>
        <v>MassolinCagliari</v>
      </c>
      <c r="B67">
        <v>7579</v>
      </c>
      <c r="C67" t="s">
        <v>283</v>
      </c>
      <c r="D67" t="s">
        <v>445</v>
      </c>
      <c r="E67" t="s">
        <v>20</v>
      </c>
      <c r="F67">
        <v>3</v>
      </c>
      <c r="G67">
        <v>4</v>
      </c>
      <c r="H67">
        <v>-1</v>
      </c>
      <c r="I67">
        <v>12</v>
      </c>
      <c r="J67">
        <f>VLOOKUP(B67,'Quotazioni calciatori'!N:N,1,FALSE)</f>
        <v>7579</v>
      </c>
    </row>
    <row r="68" spans="1:10" x14ac:dyDescent="0.35">
      <c r="A68" t="str">
        <f t="shared" si="1"/>
        <v>Mendy P.Cagliari</v>
      </c>
      <c r="B68">
        <v>7374</v>
      </c>
      <c r="C68" t="s">
        <v>478</v>
      </c>
      <c r="D68" t="s">
        <v>523</v>
      </c>
      <c r="E68" t="s">
        <v>20</v>
      </c>
      <c r="F68">
        <v>8</v>
      </c>
      <c r="G68">
        <v>4</v>
      </c>
      <c r="H68">
        <v>4</v>
      </c>
      <c r="I68">
        <v>20</v>
      </c>
      <c r="J68">
        <f>VLOOKUP(B68,'Quotazioni calciatori'!N:N,1,FALSE)</f>
        <v>7374</v>
      </c>
    </row>
    <row r="69" spans="1:10" x14ac:dyDescent="0.35">
      <c r="A69" t="str">
        <f t="shared" si="1"/>
        <v>MinaCagliari</v>
      </c>
      <c r="B69">
        <v>4210</v>
      </c>
      <c r="C69" t="s">
        <v>92</v>
      </c>
      <c r="D69" t="s">
        <v>119</v>
      </c>
      <c r="E69" t="s">
        <v>20</v>
      </c>
      <c r="F69">
        <v>9</v>
      </c>
      <c r="G69">
        <v>8</v>
      </c>
      <c r="H69">
        <v>1</v>
      </c>
      <c r="I69">
        <v>17</v>
      </c>
      <c r="J69">
        <f>VLOOKUP(B69,'Quotazioni calciatori'!N:N,1,FALSE)</f>
        <v>4210</v>
      </c>
    </row>
    <row r="70" spans="1:10" x14ac:dyDescent="0.35">
      <c r="A70" t="str">
        <f t="shared" si="1"/>
        <v>NzolaCagliari</v>
      </c>
      <c r="B70">
        <v>5336</v>
      </c>
      <c r="C70" t="s">
        <v>478</v>
      </c>
      <c r="D70" t="s">
        <v>556</v>
      </c>
      <c r="E70" t="s">
        <v>20</v>
      </c>
      <c r="F70">
        <v>3</v>
      </c>
      <c r="G70">
        <v>4</v>
      </c>
      <c r="H70">
        <v>-1</v>
      </c>
      <c r="I70">
        <v>10</v>
      </c>
      <c r="J70">
        <f>VLOOKUP(B70,'Quotazioni calciatori'!N:N,1,FALSE)</f>
        <v>5336</v>
      </c>
    </row>
    <row r="71" spans="1:10" x14ac:dyDescent="0.35">
      <c r="A71" t="str">
        <f t="shared" si="1"/>
        <v>ObertCagliari</v>
      </c>
      <c r="B71">
        <v>5701</v>
      </c>
      <c r="C71" t="s">
        <v>92</v>
      </c>
      <c r="D71" t="s">
        <v>130</v>
      </c>
      <c r="E71" t="s">
        <v>20</v>
      </c>
      <c r="F71">
        <v>8</v>
      </c>
      <c r="G71">
        <v>7</v>
      </c>
      <c r="H71">
        <v>1</v>
      </c>
      <c r="I71">
        <v>15</v>
      </c>
      <c r="J71">
        <f>VLOOKUP(B71,'Quotazioni calciatori'!N:N,1,FALSE)</f>
        <v>5701</v>
      </c>
    </row>
    <row r="72" spans="1:10" x14ac:dyDescent="0.35">
      <c r="A72" t="str">
        <f t="shared" si="1"/>
        <v>RadunovicCagliari</v>
      </c>
      <c r="B72">
        <v>3</v>
      </c>
      <c r="C72" t="s">
        <v>8</v>
      </c>
      <c r="D72" t="s">
        <v>85</v>
      </c>
      <c r="E72" t="s">
        <v>20</v>
      </c>
      <c r="F72">
        <v>1</v>
      </c>
      <c r="G72">
        <v>1</v>
      </c>
      <c r="H72">
        <v>0</v>
      </c>
      <c r="I72">
        <v>1</v>
      </c>
      <c r="J72">
        <f>VLOOKUP(B72,'Quotazioni calciatori'!N:N,1,FALSE)</f>
        <v>3</v>
      </c>
    </row>
    <row r="73" spans="1:10" x14ac:dyDescent="0.35">
      <c r="A73" t="str">
        <f t="shared" si="1"/>
        <v>Rodriguez Ju.Cagliari</v>
      </c>
      <c r="B73">
        <v>7268</v>
      </c>
      <c r="C73" t="s">
        <v>92</v>
      </c>
      <c r="D73" t="s">
        <v>164</v>
      </c>
      <c r="E73" t="s">
        <v>20</v>
      </c>
      <c r="F73">
        <v>6</v>
      </c>
      <c r="G73">
        <v>3</v>
      </c>
      <c r="H73">
        <v>3</v>
      </c>
      <c r="I73">
        <v>14</v>
      </c>
      <c r="J73">
        <f>VLOOKUP(B73,'Quotazioni calciatori'!N:N,1,FALSE)</f>
        <v>7268</v>
      </c>
    </row>
    <row r="74" spans="1:10" x14ac:dyDescent="0.35">
      <c r="A74" t="str">
        <f t="shared" si="1"/>
        <v>RomanoCagliari</v>
      </c>
      <c r="B74">
        <v>7311</v>
      </c>
      <c r="C74" t="s">
        <v>283</v>
      </c>
      <c r="D74" t="s">
        <v>330</v>
      </c>
      <c r="E74" t="s">
        <v>20</v>
      </c>
      <c r="F74">
        <v>10</v>
      </c>
      <c r="G74">
        <v>5</v>
      </c>
      <c r="H74">
        <v>5</v>
      </c>
      <c r="I74">
        <v>21</v>
      </c>
      <c r="J74">
        <f>VLOOKUP(B74,'Quotazioni calciatori'!N:N,1,FALSE)</f>
        <v>7311</v>
      </c>
    </row>
    <row r="75" spans="1:10" x14ac:dyDescent="0.35">
      <c r="A75" t="str">
        <f t="shared" si="1"/>
        <v>SherriCagliari</v>
      </c>
      <c r="B75">
        <v>6650</v>
      </c>
      <c r="C75" t="s">
        <v>8</v>
      </c>
      <c r="D75" t="s">
        <v>56</v>
      </c>
      <c r="E75" t="s">
        <v>20</v>
      </c>
      <c r="F75">
        <v>1</v>
      </c>
      <c r="G75">
        <v>1</v>
      </c>
      <c r="H75">
        <v>0</v>
      </c>
      <c r="I75">
        <v>1</v>
      </c>
      <c r="J75">
        <f>VLOOKUP(B75,'Quotazioni calciatori'!N:N,1,FALSE)</f>
        <v>6650</v>
      </c>
    </row>
    <row r="76" spans="1:10" x14ac:dyDescent="0.35">
      <c r="A76" t="str">
        <f t="shared" si="1"/>
        <v>SugawaraCagliari</v>
      </c>
      <c r="B76">
        <v>7621</v>
      </c>
      <c r="C76" t="s">
        <v>92</v>
      </c>
      <c r="D76" t="s">
        <v>175</v>
      </c>
      <c r="E76" t="s">
        <v>20</v>
      </c>
      <c r="F76">
        <v>6</v>
      </c>
      <c r="G76">
        <v>6</v>
      </c>
      <c r="H76">
        <v>0</v>
      </c>
      <c r="I76">
        <v>9</v>
      </c>
      <c r="J76">
        <f>VLOOKUP(B76,'Quotazioni calciatori'!N:N,1,FALSE)</f>
        <v>7621</v>
      </c>
    </row>
    <row r="77" spans="1:10" x14ac:dyDescent="0.35">
      <c r="A77" t="str">
        <f t="shared" si="1"/>
        <v>TrepyCagliari</v>
      </c>
      <c r="B77">
        <v>7317</v>
      </c>
      <c r="C77" t="s">
        <v>478</v>
      </c>
      <c r="D77" t="s">
        <v>561</v>
      </c>
      <c r="E77" t="s">
        <v>20</v>
      </c>
      <c r="F77">
        <v>1</v>
      </c>
      <c r="G77">
        <v>1</v>
      </c>
      <c r="H77">
        <v>0</v>
      </c>
      <c r="I77">
        <v>1</v>
      </c>
      <c r="J77">
        <f>VLOOKUP(B77,'Quotazioni calciatori'!N:N,1,FALSE)</f>
        <v>7317</v>
      </c>
    </row>
    <row r="78" spans="1:10" x14ac:dyDescent="0.35">
      <c r="A78" t="str">
        <f t="shared" si="1"/>
        <v>WinksCagliari</v>
      </c>
      <c r="B78">
        <v>4260</v>
      </c>
      <c r="C78" t="s">
        <v>283</v>
      </c>
      <c r="D78" t="s">
        <v>348</v>
      </c>
      <c r="E78" t="s">
        <v>20</v>
      </c>
      <c r="F78">
        <v>8</v>
      </c>
      <c r="G78">
        <v>6</v>
      </c>
      <c r="H78">
        <v>2</v>
      </c>
      <c r="I78">
        <v>15</v>
      </c>
      <c r="J78">
        <f>VLOOKUP(B78,'Quotazioni calciatori'!N:N,1,FALSE)</f>
        <v>4260</v>
      </c>
    </row>
    <row r="79" spans="1:10" x14ac:dyDescent="0.35">
      <c r="A79" t="str">
        <f t="shared" si="1"/>
        <v>Zè PedroCagliari</v>
      </c>
      <c r="B79">
        <v>7274</v>
      </c>
      <c r="C79" t="s">
        <v>92</v>
      </c>
      <c r="D79" t="s">
        <v>129</v>
      </c>
      <c r="E79" t="s">
        <v>20</v>
      </c>
      <c r="F79">
        <v>8</v>
      </c>
      <c r="G79">
        <v>5</v>
      </c>
      <c r="H79">
        <v>3</v>
      </c>
      <c r="I79">
        <v>15</v>
      </c>
      <c r="J79">
        <f>VLOOKUP(B79,'Quotazioni calciatori'!N:N,1,FALSE)</f>
        <v>7274</v>
      </c>
    </row>
    <row r="80" spans="1:10" x14ac:dyDescent="0.35">
      <c r="A80" t="str">
        <f t="shared" si="1"/>
        <v>AddaiComo</v>
      </c>
      <c r="B80">
        <v>7127</v>
      </c>
      <c r="C80" t="s">
        <v>283</v>
      </c>
      <c r="D80" t="s">
        <v>412</v>
      </c>
      <c r="E80" t="s">
        <v>22</v>
      </c>
      <c r="F80">
        <v>4</v>
      </c>
      <c r="G80">
        <v>5</v>
      </c>
      <c r="H80">
        <v>-1</v>
      </c>
      <c r="I80">
        <v>10</v>
      </c>
      <c r="J80">
        <f>VLOOKUP(B80,'Quotazioni calciatori'!N:N,1,FALSE)</f>
        <v>7127</v>
      </c>
    </row>
    <row r="81" spans="1:10" x14ac:dyDescent="0.35">
      <c r="A81" t="str">
        <f t="shared" si="1"/>
        <v>BaturinaComo</v>
      </c>
      <c r="B81">
        <v>7126</v>
      </c>
      <c r="C81" t="s">
        <v>283</v>
      </c>
      <c r="D81" t="s">
        <v>290</v>
      </c>
      <c r="E81" t="s">
        <v>22</v>
      </c>
      <c r="F81">
        <v>21</v>
      </c>
      <c r="G81">
        <v>19</v>
      </c>
      <c r="H81">
        <v>2</v>
      </c>
      <c r="I81">
        <v>153</v>
      </c>
      <c r="J81">
        <f>VLOOKUP(B81,'Quotazioni calciatori'!N:N,1,FALSE)</f>
        <v>7126</v>
      </c>
    </row>
    <row r="82" spans="1:10" x14ac:dyDescent="0.35">
      <c r="A82" t="str">
        <f t="shared" si="1"/>
        <v>ButezComo</v>
      </c>
      <c r="B82">
        <v>6966</v>
      </c>
      <c r="C82" t="s">
        <v>8</v>
      </c>
      <c r="D82" t="s">
        <v>21</v>
      </c>
      <c r="E82" t="s">
        <v>22</v>
      </c>
      <c r="F82">
        <v>13</v>
      </c>
      <c r="G82">
        <v>16</v>
      </c>
      <c r="H82">
        <v>-3</v>
      </c>
      <c r="I82">
        <v>43</v>
      </c>
      <c r="J82">
        <f>VLOOKUP(B82,'Quotazioni calciatori'!N:N,1,FALSE)</f>
        <v>6966</v>
      </c>
    </row>
    <row r="83" spans="1:10" x14ac:dyDescent="0.35">
      <c r="A83" t="str">
        <f t="shared" si="1"/>
        <v>CaqueretComo</v>
      </c>
      <c r="B83">
        <v>5036</v>
      </c>
      <c r="C83" t="s">
        <v>283</v>
      </c>
      <c r="D83" t="s">
        <v>380</v>
      </c>
      <c r="E83" t="s">
        <v>22</v>
      </c>
      <c r="F83">
        <v>6</v>
      </c>
      <c r="G83">
        <v>6</v>
      </c>
      <c r="H83">
        <v>0</v>
      </c>
      <c r="I83">
        <v>11</v>
      </c>
      <c r="J83">
        <f>VLOOKUP(B83,'Quotazioni calciatori'!N:N,1,FALSE)</f>
        <v>5036</v>
      </c>
    </row>
    <row r="84" spans="1:10" x14ac:dyDescent="0.35">
      <c r="A84" t="str">
        <f t="shared" si="1"/>
        <v>Chalobah T.Como</v>
      </c>
      <c r="B84">
        <v>5641</v>
      </c>
      <c r="C84" t="s">
        <v>92</v>
      </c>
      <c r="D84" t="s">
        <v>127</v>
      </c>
      <c r="E84" t="s">
        <v>22</v>
      </c>
      <c r="F84">
        <v>9</v>
      </c>
      <c r="G84">
        <v>9</v>
      </c>
      <c r="H84">
        <v>0</v>
      </c>
      <c r="I84">
        <v>25</v>
      </c>
      <c r="J84">
        <f>VLOOKUP(B84,'Quotazioni calciatori'!N:N,1,FALSE)</f>
        <v>5641</v>
      </c>
    </row>
    <row r="85" spans="1:10" x14ac:dyDescent="0.35">
      <c r="A85" t="str">
        <f t="shared" si="1"/>
        <v>CoutoComo</v>
      </c>
      <c r="B85">
        <v>6727</v>
      </c>
      <c r="C85" t="s">
        <v>92</v>
      </c>
      <c r="D85" t="s">
        <v>143</v>
      </c>
      <c r="E85" t="s">
        <v>22</v>
      </c>
      <c r="F85">
        <v>8</v>
      </c>
      <c r="G85">
        <v>8</v>
      </c>
      <c r="H85">
        <v>0</v>
      </c>
      <c r="I85">
        <v>29</v>
      </c>
      <c r="J85">
        <f>VLOOKUP(B85,'Quotazioni calciatori'!N:N,1,FALSE)</f>
        <v>6727</v>
      </c>
    </row>
    <row r="86" spans="1:10" x14ac:dyDescent="0.35">
      <c r="A86" t="str">
        <f t="shared" si="1"/>
        <v>Da CunhaComo</v>
      </c>
      <c r="B86">
        <v>5559</v>
      </c>
      <c r="C86" t="s">
        <v>283</v>
      </c>
      <c r="D86" t="s">
        <v>294</v>
      </c>
      <c r="E86" t="s">
        <v>22</v>
      </c>
      <c r="F86">
        <v>17</v>
      </c>
      <c r="G86">
        <v>18</v>
      </c>
      <c r="H86">
        <v>-1</v>
      </c>
      <c r="I86">
        <v>69</v>
      </c>
      <c r="J86">
        <f>VLOOKUP(B86,'Quotazioni calciatori'!N:N,1,FALSE)</f>
        <v>5559</v>
      </c>
    </row>
    <row r="87" spans="1:10" x14ac:dyDescent="0.35">
      <c r="A87" t="str">
        <f t="shared" si="1"/>
        <v>DiaoComo</v>
      </c>
      <c r="B87">
        <v>6967</v>
      </c>
      <c r="C87" t="s">
        <v>478</v>
      </c>
      <c r="D87" t="s">
        <v>502</v>
      </c>
      <c r="E87" t="s">
        <v>22</v>
      </c>
      <c r="F87">
        <v>14</v>
      </c>
      <c r="G87">
        <v>11</v>
      </c>
      <c r="H87">
        <v>3</v>
      </c>
      <c r="I87">
        <v>67</v>
      </c>
      <c r="J87">
        <f>VLOOKUP(B87,'Quotazioni calciatori'!N:N,1,FALSE)</f>
        <v>6967</v>
      </c>
    </row>
    <row r="88" spans="1:10" x14ac:dyDescent="0.35">
      <c r="A88" t="str">
        <f t="shared" si="1"/>
        <v>DouvikasComo</v>
      </c>
      <c r="B88">
        <v>7017</v>
      </c>
      <c r="C88" t="s">
        <v>478</v>
      </c>
      <c r="D88" t="s">
        <v>486</v>
      </c>
      <c r="E88" t="s">
        <v>22</v>
      </c>
      <c r="F88">
        <v>22</v>
      </c>
      <c r="G88">
        <v>20</v>
      </c>
      <c r="H88">
        <v>2</v>
      </c>
      <c r="I88">
        <v>138</v>
      </c>
      <c r="J88">
        <f>VLOOKUP(B88,'Quotazioni calciatori'!N:N,1,FALSE)</f>
        <v>7017</v>
      </c>
    </row>
    <row r="89" spans="1:10" x14ac:dyDescent="0.35">
      <c r="A89" t="str">
        <f t="shared" si="1"/>
        <v>GoldanigaComo</v>
      </c>
      <c r="B89">
        <v>418</v>
      </c>
      <c r="C89" t="s">
        <v>92</v>
      </c>
      <c r="D89" t="s">
        <v>257</v>
      </c>
      <c r="E89" t="s">
        <v>22</v>
      </c>
      <c r="F89">
        <v>1</v>
      </c>
      <c r="G89">
        <v>1</v>
      </c>
      <c r="H89">
        <v>0</v>
      </c>
      <c r="I89">
        <v>1</v>
      </c>
      <c r="J89">
        <f>VLOOKUP(B89,'Quotazioni calciatori'!N:N,1,FALSE)</f>
        <v>418</v>
      </c>
    </row>
    <row r="90" spans="1:10" x14ac:dyDescent="0.35">
      <c r="A90" t="str">
        <f t="shared" si="1"/>
        <v>KaikiComo</v>
      </c>
      <c r="B90">
        <v>7414</v>
      </c>
      <c r="C90" t="s">
        <v>92</v>
      </c>
      <c r="D90" t="s">
        <v>120</v>
      </c>
      <c r="E90" t="s">
        <v>22</v>
      </c>
      <c r="F90">
        <v>9</v>
      </c>
      <c r="G90">
        <v>7</v>
      </c>
      <c r="H90">
        <v>2</v>
      </c>
      <c r="I90">
        <v>17</v>
      </c>
      <c r="J90">
        <f>VLOOKUP(B90,'Quotazioni calciatori'!N:N,1,FALSE)</f>
        <v>7414</v>
      </c>
    </row>
    <row r="91" spans="1:10" x14ac:dyDescent="0.35">
      <c r="A91" t="str">
        <f t="shared" si="1"/>
        <v>KambwalaComo</v>
      </c>
      <c r="B91">
        <v>6601</v>
      </c>
      <c r="C91" t="s">
        <v>92</v>
      </c>
      <c r="D91" t="s">
        <v>254</v>
      </c>
      <c r="E91" t="s">
        <v>22</v>
      </c>
      <c r="F91">
        <v>2</v>
      </c>
      <c r="G91">
        <v>3</v>
      </c>
      <c r="H91">
        <v>-1</v>
      </c>
      <c r="I91">
        <v>5</v>
      </c>
      <c r="J91">
        <f>VLOOKUP(B91,'Quotazioni calciatori'!N:N,1,FALSE)</f>
        <v>6601</v>
      </c>
    </row>
    <row r="92" spans="1:10" x14ac:dyDescent="0.35">
      <c r="A92" t="str">
        <f t="shared" si="1"/>
        <v>KeanComo</v>
      </c>
      <c r="B92">
        <v>2097</v>
      </c>
      <c r="C92" t="s">
        <v>478</v>
      </c>
      <c r="D92" t="s">
        <v>484</v>
      </c>
      <c r="E92" t="s">
        <v>22</v>
      </c>
      <c r="F92">
        <v>23</v>
      </c>
      <c r="G92">
        <v>25</v>
      </c>
      <c r="H92">
        <v>-2</v>
      </c>
      <c r="I92">
        <v>138</v>
      </c>
      <c r="J92">
        <f>VLOOKUP(B92,'Quotazioni calciatori'!N:N,1,FALSE)</f>
        <v>2097</v>
      </c>
    </row>
    <row r="93" spans="1:10" x14ac:dyDescent="0.35">
      <c r="A93" t="str">
        <f t="shared" si="1"/>
        <v>KempfComo</v>
      </c>
      <c r="B93">
        <v>6893</v>
      </c>
      <c r="C93" t="s">
        <v>92</v>
      </c>
      <c r="D93" t="s">
        <v>182</v>
      </c>
      <c r="E93" t="s">
        <v>22</v>
      </c>
      <c r="F93">
        <v>5</v>
      </c>
      <c r="G93">
        <v>5</v>
      </c>
      <c r="H93">
        <v>0</v>
      </c>
      <c r="I93">
        <v>11</v>
      </c>
      <c r="J93">
        <f>VLOOKUP(B93,'Quotazioni calciatori'!N:N,1,FALSE)</f>
        <v>6893</v>
      </c>
    </row>
    <row r="94" spans="1:10" x14ac:dyDescent="0.35">
      <c r="A94" t="str">
        <f t="shared" si="1"/>
        <v>LahdoComo</v>
      </c>
      <c r="B94">
        <v>7357</v>
      </c>
      <c r="C94" t="s">
        <v>283</v>
      </c>
      <c r="D94" t="s">
        <v>460</v>
      </c>
      <c r="E94" t="s">
        <v>22</v>
      </c>
      <c r="F94">
        <v>1</v>
      </c>
      <c r="G94">
        <v>1</v>
      </c>
      <c r="H94">
        <v>0</v>
      </c>
      <c r="I94">
        <v>1</v>
      </c>
      <c r="J94">
        <f>VLOOKUP(B94,'Quotazioni calciatori'!N:N,1,FALSE)</f>
        <v>7357</v>
      </c>
    </row>
    <row r="95" spans="1:10" x14ac:dyDescent="0.35">
      <c r="A95" t="str">
        <f t="shared" si="1"/>
        <v>LiberaliComo</v>
      </c>
      <c r="B95">
        <v>6678</v>
      </c>
      <c r="C95" t="s">
        <v>283</v>
      </c>
      <c r="D95" t="s">
        <v>396</v>
      </c>
      <c r="E95" t="s">
        <v>22</v>
      </c>
      <c r="F95">
        <v>5</v>
      </c>
      <c r="G95">
        <v>6</v>
      </c>
      <c r="H95">
        <v>-1</v>
      </c>
      <c r="I95">
        <v>10</v>
      </c>
      <c r="J95">
        <f>VLOOKUP(B95,'Quotazioni calciatori'!N:N,1,FALSE)</f>
        <v>6678</v>
      </c>
    </row>
    <row r="96" spans="1:10" x14ac:dyDescent="0.35">
      <c r="A96" t="str">
        <f t="shared" si="1"/>
        <v>MillaComo</v>
      </c>
      <c r="B96">
        <v>7412</v>
      </c>
      <c r="C96" t="s">
        <v>283</v>
      </c>
      <c r="D96" t="s">
        <v>365</v>
      </c>
      <c r="E96" t="s">
        <v>22</v>
      </c>
      <c r="F96">
        <v>7</v>
      </c>
      <c r="G96">
        <v>5</v>
      </c>
      <c r="H96">
        <v>2</v>
      </c>
      <c r="I96">
        <v>26</v>
      </c>
      <c r="J96">
        <f>VLOOKUP(B96,'Quotazioni calciatori'!N:N,1,FALSE)</f>
        <v>7412</v>
      </c>
    </row>
    <row r="97" spans="1:10" x14ac:dyDescent="0.35">
      <c r="A97" t="str">
        <f t="shared" si="1"/>
        <v>Paz N.Como</v>
      </c>
      <c r="B97">
        <v>6875</v>
      </c>
      <c r="C97" t="s">
        <v>283</v>
      </c>
      <c r="D97" t="s">
        <v>284</v>
      </c>
      <c r="E97" t="s">
        <v>22</v>
      </c>
      <c r="F97">
        <v>29</v>
      </c>
      <c r="G97">
        <v>30</v>
      </c>
      <c r="H97">
        <v>-1</v>
      </c>
      <c r="I97">
        <v>248</v>
      </c>
      <c r="J97">
        <f>VLOOKUP(B97,'Quotazioni calciatori'!N:N,1,FALSE)</f>
        <v>6875</v>
      </c>
    </row>
    <row r="98" spans="1:10" x14ac:dyDescent="0.35">
      <c r="A98" t="str">
        <f t="shared" si="1"/>
        <v>PerroneComo</v>
      </c>
      <c r="B98">
        <v>6151</v>
      </c>
      <c r="C98" t="s">
        <v>283</v>
      </c>
      <c r="D98" t="s">
        <v>315</v>
      </c>
      <c r="E98" t="s">
        <v>22</v>
      </c>
      <c r="F98">
        <v>11</v>
      </c>
      <c r="G98">
        <v>10</v>
      </c>
      <c r="H98">
        <v>1</v>
      </c>
      <c r="I98">
        <v>32</v>
      </c>
      <c r="J98">
        <f>VLOOKUP(B98,'Quotazioni calciatori'!N:N,1,FALSE)</f>
        <v>6151</v>
      </c>
    </row>
    <row r="99" spans="1:10" x14ac:dyDescent="0.35">
      <c r="A99" t="str">
        <f t="shared" si="1"/>
        <v>RamonComo</v>
      </c>
      <c r="B99">
        <v>6869</v>
      </c>
      <c r="C99" t="s">
        <v>92</v>
      </c>
      <c r="D99" t="s">
        <v>105</v>
      </c>
      <c r="E99" t="s">
        <v>22</v>
      </c>
      <c r="F99">
        <v>12</v>
      </c>
      <c r="G99">
        <v>10</v>
      </c>
      <c r="H99">
        <v>2</v>
      </c>
      <c r="I99">
        <v>34</v>
      </c>
      <c r="J99">
        <f>VLOOKUP(B99,'Quotazioni calciatori'!N:N,1,FALSE)</f>
        <v>6869</v>
      </c>
    </row>
    <row r="100" spans="1:10" x14ac:dyDescent="0.35">
      <c r="A100" t="str">
        <f t="shared" si="1"/>
        <v>Ricci S.Como</v>
      </c>
      <c r="B100">
        <v>5453</v>
      </c>
      <c r="C100" t="s">
        <v>283</v>
      </c>
      <c r="D100" t="s">
        <v>439</v>
      </c>
      <c r="E100" t="s">
        <v>22</v>
      </c>
      <c r="F100">
        <v>3</v>
      </c>
      <c r="G100">
        <v>4</v>
      </c>
      <c r="H100">
        <v>-1</v>
      </c>
      <c r="I100">
        <v>12</v>
      </c>
      <c r="J100">
        <f>VLOOKUP(B100,'Quotazioni calciatori'!N:N,1,FALSE)</f>
        <v>5453</v>
      </c>
    </row>
    <row r="101" spans="1:10" x14ac:dyDescent="0.35">
      <c r="A101" t="str">
        <f t="shared" si="1"/>
        <v>Rodriguez Je.Como</v>
      </c>
      <c r="B101">
        <v>7129</v>
      </c>
      <c r="C101" t="s">
        <v>283</v>
      </c>
      <c r="D101" t="s">
        <v>316</v>
      </c>
      <c r="E101" t="s">
        <v>22</v>
      </c>
      <c r="F101">
        <v>11</v>
      </c>
      <c r="G101">
        <v>12</v>
      </c>
      <c r="H101">
        <v>-1</v>
      </c>
      <c r="I101">
        <v>23</v>
      </c>
      <c r="J101">
        <f>VLOOKUP(B101,'Quotazioni calciatori'!N:N,1,FALSE)</f>
        <v>7129</v>
      </c>
    </row>
    <row r="102" spans="1:10" x14ac:dyDescent="0.35">
      <c r="A102" t="str">
        <f t="shared" si="1"/>
        <v>Sanchez Ro.Como</v>
      </c>
      <c r="B102">
        <v>6344</v>
      </c>
      <c r="C102" t="s">
        <v>8</v>
      </c>
      <c r="D102" t="s">
        <v>37</v>
      </c>
      <c r="E102" t="s">
        <v>22</v>
      </c>
      <c r="F102">
        <v>8</v>
      </c>
      <c r="G102">
        <v>8</v>
      </c>
      <c r="H102">
        <v>0</v>
      </c>
      <c r="I102">
        <v>12</v>
      </c>
      <c r="J102" t="e">
        <f>VLOOKUP(B102,'Quotazioni calciatori'!N:N,1,FALSE)</f>
        <v>#N/A</v>
      </c>
    </row>
    <row r="103" spans="1:10" x14ac:dyDescent="0.35">
      <c r="A103" t="str">
        <f t="shared" si="1"/>
        <v>Smolcic I.Como</v>
      </c>
      <c r="B103">
        <v>7014</v>
      </c>
      <c r="C103" t="s">
        <v>92</v>
      </c>
      <c r="D103" t="s">
        <v>224</v>
      </c>
      <c r="E103" t="s">
        <v>22</v>
      </c>
      <c r="F103">
        <v>3</v>
      </c>
      <c r="G103">
        <v>4</v>
      </c>
      <c r="H103">
        <v>-1</v>
      </c>
      <c r="I103">
        <v>10</v>
      </c>
      <c r="J103">
        <f>VLOOKUP(B103,'Quotazioni calciatori'!N:N,1,FALSE)</f>
        <v>7014</v>
      </c>
    </row>
    <row r="104" spans="1:10" x14ac:dyDescent="0.35">
      <c r="A104" t="str">
        <f t="shared" si="1"/>
        <v>ValleComo</v>
      </c>
      <c r="B104">
        <v>6867</v>
      </c>
      <c r="C104" t="s">
        <v>92</v>
      </c>
      <c r="D104" t="s">
        <v>131</v>
      </c>
      <c r="E104" t="s">
        <v>22</v>
      </c>
      <c r="F104">
        <v>8</v>
      </c>
      <c r="G104">
        <v>6</v>
      </c>
      <c r="H104">
        <v>2</v>
      </c>
      <c r="I104">
        <v>20</v>
      </c>
      <c r="J104">
        <f>VLOOKUP(B104,'Quotazioni calciatori'!N:N,1,FALSE)</f>
        <v>6867</v>
      </c>
    </row>
    <row r="105" spans="1:10" x14ac:dyDescent="0.35">
      <c r="A105" t="str">
        <f t="shared" si="1"/>
        <v>VigoritoComo</v>
      </c>
      <c r="B105">
        <v>2809</v>
      </c>
      <c r="C105" t="s">
        <v>8</v>
      </c>
      <c r="D105" t="s">
        <v>57</v>
      </c>
      <c r="E105" t="s">
        <v>22</v>
      </c>
      <c r="F105">
        <v>1</v>
      </c>
      <c r="G105">
        <v>1</v>
      </c>
      <c r="H105">
        <v>0</v>
      </c>
      <c r="I105">
        <v>1</v>
      </c>
      <c r="J105">
        <f>VLOOKUP(B105,'Quotazioni calciatori'!N:N,1,FALSE)</f>
        <v>2809</v>
      </c>
    </row>
    <row r="106" spans="1:10" x14ac:dyDescent="0.35">
      <c r="A106" t="str">
        <f t="shared" si="1"/>
        <v>AttaFiorentina</v>
      </c>
      <c r="B106">
        <v>6908</v>
      </c>
      <c r="C106" t="s">
        <v>283</v>
      </c>
      <c r="D106" t="s">
        <v>300</v>
      </c>
      <c r="E106" t="s">
        <v>26</v>
      </c>
      <c r="F106">
        <v>14</v>
      </c>
      <c r="G106">
        <v>17</v>
      </c>
      <c r="H106">
        <v>-3</v>
      </c>
      <c r="I106">
        <v>63</v>
      </c>
      <c r="J106">
        <f>VLOOKUP(B106,'Quotazioni calciatori'!N:N,1,FALSE)</f>
        <v>6908</v>
      </c>
    </row>
    <row r="107" spans="1:10" x14ac:dyDescent="0.35">
      <c r="A107" t="str">
        <f t="shared" si="1"/>
        <v>BetoFiorentina</v>
      </c>
      <c r="B107">
        <v>5694</v>
      </c>
      <c r="C107" t="s">
        <v>478</v>
      </c>
      <c r="D107" t="s">
        <v>507</v>
      </c>
      <c r="E107" t="s">
        <v>26</v>
      </c>
      <c r="F107">
        <v>13</v>
      </c>
      <c r="G107">
        <v>14</v>
      </c>
      <c r="H107">
        <v>-1</v>
      </c>
      <c r="I107">
        <v>49</v>
      </c>
      <c r="J107">
        <f>VLOOKUP(B107,'Quotazioni calciatori'!N:N,1,FALSE)</f>
        <v>5694</v>
      </c>
    </row>
    <row r="108" spans="1:10" x14ac:dyDescent="0.35">
      <c r="A108" t="str">
        <f t="shared" si="1"/>
        <v>BrescianiniFiorentina</v>
      </c>
      <c r="B108">
        <v>4947</v>
      </c>
      <c r="C108" t="s">
        <v>283</v>
      </c>
      <c r="D108" t="s">
        <v>435</v>
      </c>
      <c r="E108" t="s">
        <v>26</v>
      </c>
      <c r="F108">
        <v>3</v>
      </c>
      <c r="G108">
        <v>3</v>
      </c>
      <c r="H108">
        <v>0</v>
      </c>
      <c r="I108">
        <v>8</v>
      </c>
      <c r="J108">
        <f>VLOOKUP(B108,'Quotazioni calciatori'!N:N,1,FALSE)</f>
        <v>4947</v>
      </c>
    </row>
    <row r="109" spans="1:10" x14ac:dyDescent="0.35">
      <c r="A109" t="str">
        <f t="shared" si="1"/>
        <v>Christensen O.Fiorentina</v>
      </c>
      <c r="B109">
        <v>6403</v>
      </c>
      <c r="C109" t="s">
        <v>8</v>
      </c>
      <c r="D109" t="s">
        <v>58</v>
      </c>
      <c r="E109" t="s">
        <v>26</v>
      </c>
      <c r="F109">
        <v>1</v>
      </c>
      <c r="G109">
        <v>1</v>
      </c>
      <c r="H109">
        <v>0</v>
      </c>
      <c r="I109">
        <v>1</v>
      </c>
      <c r="J109">
        <f>VLOOKUP(B109,'Quotazioni calciatori'!N:N,1,FALSE)</f>
        <v>6403</v>
      </c>
    </row>
    <row r="110" spans="1:10" x14ac:dyDescent="0.35">
      <c r="A110" t="str">
        <f t="shared" si="1"/>
        <v>De GeaFiorentina</v>
      </c>
      <c r="B110">
        <v>2521</v>
      </c>
      <c r="C110" t="s">
        <v>8</v>
      </c>
      <c r="D110" t="s">
        <v>25</v>
      </c>
      <c r="E110" t="s">
        <v>26</v>
      </c>
      <c r="F110">
        <v>10</v>
      </c>
      <c r="G110">
        <v>13</v>
      </c>
      <c r="H110">
        <v>-3</v>
      </c>
      <c r="I110">
        <v>25</v>
      </c>
      <c r="J110">
        <f>VLOOKUP(B110,'Quotazioni calciatori'!N:N,1,FALSE)</f>
        <v>2521</v>
      </c>
    </row>
    <row r="111" spans="1:10" x14ac:dyDescent="0.35">
      <c r="A111" t="str">
        <f t="shared" si="1"/>
        <v>DodòFiorentina</v>
      </c>
      <c r="B111">
        <v>5885</v>
      </c>
      <c r="C111" t="s">
        <v>92</v>
      </c>
      <c r="D111" t="s">
        <v>133</v>
      </c>
      <c r="E111" t="s">
        <v>26</v>
      </c>
      <c r="F111">
        <v>8</v>
      </c>
      <c r="G111">
        <v>10</v>
      </c>
      <c r="H111">
        <v>-2</v>
      </c>
      <c r="I111">
        <v>8</v>
      </c>
      <c r="J111">
        <f>VLOOKUP(B111,'Quotazioni calciatori'!N:N,1,FALSE)</f>
        <v>5885</v>
      </c>
    </row>
    <row r="112" spans="1:10" x14ac:dyDescent="0.35">
      <c r="A112" t="str">
        <f t="shared" si="1"/>
        <v>DragusinFiorentina</v>
      </c>
      <c r="B112">
        <v>5365</v>
      </c>
      <c r="C112" t="s">
        <v>92</v>
      </c>
      <c r="D112" t="s">
        <v>132</v>
      </c>
      <c r="E112" t="s">
        <v>26</v>
      </c>
      <c r="F112">
        <v>8</v>
      </c>
      <c r="G112">
        <v>8</v>
      </c>
      <c r="H112">
        <v>0</v>
      </c>
      <c r="I112">
        <v>19</v>
      </c>
      <c r="J112">
        <f>VLOOKUP(B112,'Quotazioni calciatori'!N:N,1,FALSE)</f>
        <v>5365</v>
      </c>
    </row>
    <row r="113" spans="1:10" x14ac:dyDescent="0.35">
      <c r="A113" t="str">
        <f t="shared" si="1"/>
        <v>FagioliFiorentina</v>
      </c>
      <c r="B113">
        <v>4465</v>
      </c>
      <c r="C113" t="s">
        <v>283</v>
      </c>
      <c r="D113" t="s">
        <v>349</v>
      </c>
      <c r="E113" t="s">
        <v>26</v>
      </c>
      <c r="F113">
        <v>8</v>
      </c>
      <c r="G113">
        <v>8</v>
      </c>
      <c r="H113">
        <v>0</v>
      </c>
      <c r="I113">
        <v>22</v>
      </c>
      <c r="J113">
        <f>VLOOKUP(B113,'Quotazioni calciatori'!N:N,1,FALSE)</f>
        <v>4465</v>
      </c>
    </row>
    <row r="114" spans="1:10" x14ac:dyDescent="0.35">
      <c r="A114" t="str">
        <f t="shared" si="1"/>
        <v>GnontoFiorentina</v>
      </c>
      <c r="B114">
        <v>7623</v>
      </c>
      <c r="C114" t="s">
        <v>478</v>
      </c>
      <c r="D114" t="s">
        <v>533</v>
      </c>
      <c r="E114" t="s">
        <v>26</v>
      </c>
      <c r="F114">
        <v>7</v>
      </c>
      <c r="G114">
        <v>7</v>
      </c>
      <c r="H114">
        <v>0</v>
      </c>
      <c r="I114">
        <v>17</v>
      </c>
      <c r="J114">
        <f>VLOOKUP(B114,'Quotazioni calciatori'!N:N,1,FALSE)</f>
        <v>7623</v>
      </c>
    </row>
    <row r="115" spans="1:10" x14ac:dyDescent="0.35">
      <c r="A115" t="str">
        <f t="shared" si="1"/>
        <v>Goncalves P.Fiorentina</v>
      </c>
      <c r="B115">
        <v>7625</v>
      </c>
      <c r="C115" t="s">
        <v>283</v>
      </c>
      <c r="D115" t="s">
        <v>329</v>
      </c>
      <c r="E115" t="s">
        <v>26</v>
      </c>
      <c r="F115">
        <v>11</v>
      </c>
      <c r="G115">
        <v>12</v>
      </c>
      <c r="H115">
        <v>-1</v>
      </c>
      <c r="I115">
        <v>37</v>
      </c>
      <c r="J115">
        <f>VLOOKUP(B115,'Quotazioni calciatori'!N:N,1,FALSE)</f>
        <v>7625</v>
      </c>
    </row>
    <row r="116" spans="1:10" x14ac:dyDescent="0.35">
      <c r="A116" t="str">
        <f t="shared" si="1"/>
        <v>Jimenez A.Fiorentina</v>
      </c>
      <c r="B116">
        <v>6531</v>
      </c>
      <c r="C116" t="s">
        <v>92</v>
      </c>
      <c r="D116" t="s">
        <v>113</v>
      </c>
      <c r="E116" t="s">
        <v>26</v>
      </c>
      <c r="F116">
        <v>10</v>
      </c>
      <c r="G116">
        <v>8</v>
      </c>
      <c r="H116">
        <v>2</v>
      </c>
      <c r="I116">
        <v>30</v>
      </c>
      <c r="J116">
        <f>VLOOKUP(B116,'Quotazioni calciatori'!N:N,1,FALSE)</f>
        <v>6531</v>
      </c>
    </row>
    <row r="117" spans="1:10" x14ac:dyDescent="0.35">
      <c r="A117" t="str">
        <f t="shared" si="1"/>
        <v>Joao MarioFiorentina</v>
      </c>
      <c r="B117">
        <v>7175</v>
      </c>
      <c r="C117" t="s">
        <v>92</v>
      </c>
      <c r="D117" t="s">
        <v>241</v>
      </c>
      <c r="E117" t="s">
        <v>26</v>
      </c>
      <c r="F117">
        <v>2</v>
      </c>
      <c r="G117">
        <v>3</v>
      </c>
      <c r="H117">
        <v>-1</v>
      </c>
      <c r="I117">
        <v>12</v>
      </c>
      <c r="J117">
        <f>VLOOKUP(B117,'Quotazioni calciatori'!N:N,1,FALSE)</f>
        <v>7175</v>
      </c>
    </row>
    <row r="118" spans="1:10" x14ac:dyDescent="0.35">
      <c r="A118" t="str">
        <f t="shared" si="1"/>
        <v>LezzeriniFiorentina</v>
      </c>
      <c r="B118">
        <v>158</v>
      </c>
      <c r="C118" t="s">
        <v>8</v>
      </c>
      <c r="D118" t="s">
        <v>59</v>
      </c>
      <c r="E118" t="s">
        <v>26</v>
      </c>
      <c r="F118">
        <v>1</v>
      </c>
      <c r="G118">
        <v>1</v>
      </c>
      <c r="H118">
        <v>0</v>
      </c>
      <c r="I118">
        <v>1</v>
      </c>
      <c r="J118">
        <f>VLOOKUP(B118,'Quotazioni calciatori'!N:N,1,FALSE)</f>
        <v>158</v>
      </c>
    </row>
    <row r="119" spans="1:10" x14ac:dyDescent="0.35">
      <c r="A119" t="str">
        <f t="shared" si="1"/>
        <v>MastantuonoFiorentina</v>
      </c>
      <c r="B119">
        <v>7078</v>
      </c>
      <c r="C119" t="s">
        <v>283</v>
      </c>
      <c r="D119" t="s">
        <v>304</v>
      </c>
      <c r="E119" t="s">
        <v>26</v>
      </c>
      <c r="F119">
        <v>14</v>
      </c>
      <c r="G119">
        <v>12</v>
      </c>
      <c r="H119">
        <v>2</v>
      </c>
      <c r="I119">
        <v>70</v>
      </c>
      <c r="J119">
        <f>VLOOKUP(B119,'Quotazioni calciatori'!N:N,1,FALSE)</f>
        <v>7078</v>
      </c>
    </row>
    <row r="120" spans="1:10" x14ac:dyDescent="0.35">
      <c r="A120" t="str">
        <f t="shared" si="1"/>
        <v>NdourFiorentina</v>
      </c>
      <c r="B120">
        <v>6294</v>
      </c>
      <c r="C120" t="s">
        <v>283</v>
      </c>
      <c r="D120" t="s">
        <v>350</v>
      </c>
      <c r="E120" t="s">
        <v>26</v>
      </c>
      <c r="F120">
        <v>8</v>
      </c>
      <c r="G120">
        <v>8</v>
      </c>
      <c r="H120">
        <v>0</v>
      </c>
      <c r="I120">
        <v>20</v>
      </c>
      <c r="J120">
        <f>VLOOKUP(B120,'Quotazioni calciatori'!N:N,1,FALSE)</f>
        <v>6294</v>
      </c>
    </row>
    <row r="121" spans="1:10" x14ac:dyDescent="0.35">
      <c r="A121" t="str">
        <f t="shared" si="1"/>
        <v>NjieFiorentina</v>
      </c>
      <c r="B121">
        <v>6827</v>
      </c>
      <c r="C121" t="s">
        <v>283</v>
      </c>
      <c r="D121" t="s">
        <v>370</v>
      </c>
      <c r="E121" t="s">
        <v>26</v>
      </c>
      <c r="F121">
        <v>7</v>
      </c>
      <c r="G121">
        <v>4</v>
      </c>
      <c r="H121">
        <v>3</v>
      </c>
      <c r="I121">
        <v>28</v>
      </c>
      <c r="J121">
        <f>VLOOKUP(B121,'Quotazioni calciatori'!N:N,1,FALSE)</f>
        <v>6827</v>
      </c>
    </row>
    <row r="122" spans="1:10" x14ac:dyDescent="0.35">
      <c r="A122" t="str">
        <f t="shared" si="1"/>
        <v>OulaiFiorentina</v>
      </c>
      <c r="B122">
        <v>7464</v>
      </c>
      <c r="C122" t="s">
        <v>283</v>
      </c>
      <c r="D122" t="s">
        <v>397</v>
      </c>
      <c r="E122" t="s">
        <v>26</v>
      </c>
      <c r="F122">
        <v>5</v>
      </c>
      <c r="G122">
        <v>6</v>
      </c>
      <c r="H122">
        <v>-1</v>
      </c>
      <c r="I122">
        <v>16</v>
      </c>
      <c r="J122">
        <f>VLOOKUP(B122,'Quotazioni calciatori'!N:N,1,FALSE)</f>
        <v>7464</v>
      </c>
    </row>
    <row r="123" spans="1:10" x14ac:dyDescent="0.35">
      <c r="A123" t="str">
        <f t="shared" si="1"/>
        <v>ParisiFiorentina</v>
      </c>
      <c r="B123">
        <v>5449</v>
      </c>
      <c r="C123" t="s">
        <v>92</v>
      </c>
      <c r="D123" t="s">
        <v>202</v>
      </c>
      <c r="E123" t="s">
        <v>26</v>
      </c>
      <c r="F123">
        <v>4</v>
      </c>
      <c r="G123">
        <v>5</v>
      </c>
      <c r="H123">
        <v>-1</v>
      </c>
      <c r="I123">
        <v>10</v>
      </c>
      <c r="J123">
        <f>VLOOKUP(B123,'Quotazioni calciatori'!N:N,1,FALSE)</f>
        <v>5449</v>
      </c>
    </row>
    <row r="124" spans="1:10" x14ac:dyDescent="0.35">
      <c r="A124" t="str">
        <f t="shared" si="1"/>
        <v>Pellegrino M.Fiorentina</v>
      </c>
      <c r="B124">
        <v>7023</v>
      </c>
      <c r="C124" t="s">
        <v>478</v>
      </c>
      <c r="D124" t="s">
        <v>495</v>
      </c>
      <c r="E124" t="s">
        <v>26</v>
      </c>
      <c r="F124">
        <v>16</v>
      </c>
      <c r="G124">
        <v>15</v>
      </c>
      <c r="H124">
        <v>1</v>
      </c>
      <c r="I124">
        <v>51</v>
      </c>
      <c r="J124">
        <f>VLOOKUP(B124,'Quotazioni calciatori'!N:N,1,FALSE)</f>
        <v>7023</v>
      </c>
    </row>
    <row r="125" spans="1:10" x14ac:dyDescent="0.35">
      <c r="A125" t="str">
        <f t="shared" si="1"/>
        <v>PongracicFiorentina</v>
      </c>
      <c r="B125">
        <v>5603</v>
      </c>
      <c r="C125" t="s">
        <v>92</v>
      </c>
      <c r="D125" t="s">
        <v>225</v>
      </c>
      <c r="E125" t="s">
        <v>26</v>
      </c>
      <c r="F125">
        <v>3</v>
      </c>
      <c r="G125">
        <v>4</v>
      </c>
      <c r="H125">
        <v>-1</v>
      </c>
      <c r="I125">
        <v>8</v>
      </c>
      <c r="J125">
        <f>VLOOKUP(B125,'Quotazioni calciatori'!N:N,1,FALSE)</f>
        <v>5603</v>
      </c>
    </row>
    <row r="126" spans="1:10" x14ac:dyDescent="0.35">
      <c r="A126" t="str">
        <f t="shared" si="1"/>
        <v>Ranieri L.Fiorentina</v>
      </c>
      <c r="B126">
        <v>4378</v>
      </c>
      <c r="C126" t="s">
        <v>92</v>
      </c>
      <c r="D126" t="s">
        <v>226</v>
      </c>
      <c r="E126" t="s">
        <v>26</v>
      </c>
      <c r="F126">
        <v>3</v>
      </c>
      <c r="G126">
        <v>3</v>
      </c>
      <c r="H126">
        <v>0</v>
      </c>
      <c r="I126">
        <v>10</v>
      </c>
      <c r="J126">
        <f>VLOOKUP(B126,'Quotazioni calciatori'!N:N,1,FALSE)</f>
        <v>4378</v>
      </c>
    </row>
    <row r="127" spans="1:10" x14ac:dyDescent="0.35">
      <c r="A127" t="str">
        <f t="shared" si="1"/>
        <v>ValdepenasFiorentina</v>
      </c>
      <c r="B127">
        <v>7294</v>
      </c>
      <c r="C127" t="s">
        <v>92</v>
      </c>
      <c r="D127" t="s">
        <v>183</v>
      </c>
      <c r="E127" t="s">
        <v>26</v>
      </c>
      <c r="F127">
        <v>5</v>
      </c>
      <c r="G127">
        <v>6</v>
      </c>
      <c r="H127">
        <v>-1</v>
      </c>
      <c r="I127">
        <v>10</v>
      </c>
      <c r="J127">
        <f>VLOOKUP(B127,'Quotazioni calciatori'!N:N,1,FALSE)</f>
        <v>7294</v>
      </c>
    </row>
    <row r="128" spans="1:10" x14ac:dyDescent="0.35">
      <c r="A128" t="str">
        <f t="shared" si="1"/>
        <v>VieryFiorentina</v>
      </c>
      <c r="B128">
        <v>7410</v>
      </c>
      <c r="C128" t="s">
        <v>92</v>
      </c>
      <c r="D128" t="s">
        <v>184</v>
      </c>
      <c r="E128" t="s">
        <v>26</v>
      </c>
      <c r="F128">
        <v>5</v>
      </c>
      <c r="G128">
        <v>6</v>
      </c>
      <c r="H128">
        <v>-1</v>
      </c>
      <c r="I128">
        <v>13</v>
      </c>
      <c r="J128">
        <f>VLOOKUP(B128,'Quotazioni calciatori'!N:N,1,FALSE)</f>
        <v>7410</v>
      </c>
    </row>
    <row r="129" spans="1:10" x14ac:dyDescent="0.35">
      <c r="A129" t="str">
        <f t="shared" si="1"/>
        <v>AkpogumaFrosinone</v>
      </c>
      <c r="B129">
        <v>7540</v>
      </c>
      <c r="C129" t="s">
        <v>92</v>
      </c>
      <c r="D129" t="s">
        <v>242</v>
      </c>
      <c r="E129" t="s">
        <v>30</v>
      </c>
      <c r="F129">
        <v>2</v>
      </c>
      <c r="G129">
        <v>3</v>
      </c>
      <c r="H129">
        <v>-1</v>
      </c>
      <c r="I129">
        <v>6</v>
      </c>
      <c r="J129">
        <f>VLOOKUP(B129,'Quotazioni calciatori'!N:N,1,FALSE)</f>
        <v>7540</v>
      </c>
    </row>
    <row r="130" spans="1:10" x14ac:dyDescent="0.35">
      <c r="A130" t="str">
        <f t="shared" ref="A130:A193" si="2">CONCATENATE(D130,E130)</f>
        <v>AmeyFrosinone</v>
      </c>
      <c r="B130">
        <v>5424</v>
      </c>
      <c r="C130" t="s">
        <v>92</v>
      </c>
      <c r="D130" t="s">
        <v>259</v>
      </c>
      <c r="E130" t="s">
        <v>30</v>
      </c>
      <c r="F130">
        <v>1</v>
      </c>
      <c r="G130">
        <v>1</v>
      </c>
      <c r="H130">
        <v>0</v>
      </c>
      <c r="I130">
        <v>1</v>
      </c>
      <c r="J130">
        <f>VLOOKUP(B130,'Quotazioni calciatori'!N:N,1,FALSE)</f>
        <v>5424</v>
      </c>
    </row>
    <row r="131" spans="1:10" x14ac:dyDescent="0.35">
      <c r="A131" t="str">
        <f t="shared" si="2"/>
        <v>BirligeaFrosinone</v>
      </c>
      <c r="B131">
        <v>7610</v>
      </c>
      <c r="C131" t="s">
        <v>478</v>
      </c>
      <c r="D131" t="s">
        <v>551</v>
      </c>
      <c r="E131" t="s">
        <v>30</v>
      </c>
      <c r="F131">
        <v>4</v>
      </c>
      <c r="G131">
        <v>5</v>
      </c>
      <c r="H131">
        <v>-1</v>
      </c>
      <c r="I131">
        <v>3</v>
      </c>
      <c r="J131">
        <f>VLOOKUP(B131,'Quotazioni calciatori'!N:N,1,FALSE)</f>
        <v>7610</v>
      </c>
    </row>
    <row r="132" spans="1:10" x14ac:dyDescent="0.35">
      <c r="A132" t="str">
        <f t="shared" si="2"/>
        <v>BobcekFrosinone</v>
      </c>
      <c r="B132">
        <v>7612</v>
      </c>
      <c r="C132" t="s">
        <v>478</v>
      </c>
      <c r="D132" t="s">
        <v>528</v>
      </c>
      <c r="E132" t="s">
        <v>30</v>
      </c>
      <c r="F132">
        <v>8</v>
      </c>
      <c r="G132">
        <v>9</v>
      </c>
      <c r="H132">
        <v>-1</v>
      </c>
      <c r="I132">
        <v>10</v>
      </c>
      <c r="J132">
        <f>VLOOKUP(B132,'Quotazioni calciatori'!N:N,1,FALSE)</f>
        <v>7612</v>
      </c>
    </row>
    <row r="133" spans="1:10" x14ac:dyDescent="0.35">
      <c r="A133" t="str">
        <f t="shared" si="2"/>
        <v>BracagliaFrosinone</v>
      </c>
      <c r="B133">
        <v>7469</v>
      </c>
      <c r="C133" t="s">
        <v>92</v>
      </c>
      <c r="D133" t="s">
        <v>121</v>
      </c>
      <c r="E133" t="s">
        <v>30</v>
      </c>
      <c r="F133">
        <v>9</v>
      </c>
      <c r="G133">
        <v>5</v>
      </c>
      <c r="H133">
        <v>4</v>
      </c>
      <c r="I133">
        <v>17</v>
      </c>
      <c r="J133">
        <f>VLOOKUP(B133,'Quotazioni calciatori'!N:N,1,FALSE)</f>
        <v>7469</v>
      </c>
    </row>
    <row r="134" spans="1:10" x14ac:dyDescent="0.35">
      <c r="A134" t="str">
        <f t="shared" si="2"/>
        <v>CalòFrosinone</v>
      </c>
      <c r="B134">
        <v>7472</v>
      </c>
      <c r="C134" t="s">
        <v>283</v>
      </c>
      <c r="D134" t="s">
        <v>317</v>
      </c>
      <c r="E134" t="s">
        <v>30</v>
      </c>
      <c r="F134">
        <v>11</v>
      </c>
      <c r="G134">
        <v>7</v>
      </c>
      <c r="H134">
        <v>4</v>
      </c>
      <c r="I134">
        <v>37</v>
      </c>
      <c r="J134">
        <f>VLOOKUP(B134,'Quotazioni calciatori'!N:N,1,FALSE)</f>
        <v>7472</v>
      </c>
    </row>
    <row r="135" spans="1:10" x14ac:dyDescent="0.35">
      <c r="A135" t="str">
        <f t="shared" si="2"/>
        <v>CalvaniFrosinone</v>
      </c>
      <c r="B135">
        <v>7467</v>
      </c>
      <c r="C135" t="s">
        <v>92</v>
      </c>
      <c r="D135" t="s">
        <v>134</v>
      </c>
      <c r="E135" t="s">
        <v>30</v>
      </c>
      <c r="F135">
        <v>8</v>
      </c>
      <c r="G135">
        <v>4</v>
      </c>
      <c r="H135">
        <v>4</v>
      </c>
      <c r="I135">
        <v>13</v>
      </c>
      <c r="J135">
        <f>VLOOKUP(B135,'Quotazioni calciatori'!N:N,1,FALSE)</f>
        <v>7467</v>
      </c>
    </row>
    <row r="136" spans="1:10" x14ac:dyDescent="0.35">
      <c r="A136" t="str">
        <f t="shared" si="2"/>
        <v>CichellaFrosinone</v>
      </c>
      <c r="B136">
        <v>7473</v>
      </c>
      <c r="C136" t="s">
        <v>283</v>
      </c>
      <c r="D136" t="s">
        <v>414</v>
      </c>
      <c r="E136" t="s">
        <v>30</v>
      </c>
      <c r="F136">
        <v>4</v>
      </c>
      <c r="G136">
        <v>4</v>
      </c>
      <c r="H136">
        <v>0</v>
      </c>
      <c r="I136">
        <v>9</v>
      </c>
      <c r="J136">
        <f>VLOOKUP(B136,'Quotazioni calciatori'!N:N,1,FALSE)</f>
        <v>7473</v>
      </c>
    </row>
    <row r="137" spans="1:10" x14ac:dyDescent="0.35">
      <c r="A137" t="str">
        <f t="shared" si="2"/>
        <v>CittadiniFrosinone</v>
      </c>
      <c r="B137">
        <v>5757</v>
      </c>
      <c r="C137" t="s">
        <v>92</v>
      </c>
      <c r="D137" t="s">
        <v>203</v>
      </c>
      <c r="E137" t="s">
        <v>30</v>
      </c>
      <c r="F137">
        <v>4</v>
      </c>
      <c r="G137">
        <v>3</v>
      </c>
      <c r="H137">
        <v>1</v>
      </c>
      <c r="I137">
        <v>11</v>
      </c>
      <c r="J137">
        <f>VLOOKUP(B137,'Quotazioni calciatori'!N:N,1,FALSE)</f>
        <v>5757</v>
      </c>
    </row>
    <row r="138" spans="1:10" x14ac:dyDescent="0.35">
      <c r="A138" t="str">
        <f t="shared" si="2"/>
        <v>DesplanchesFrosinone</v>
      </c>
      <c r="B138">
        <v>7463</v>
      </c>
      <c r="C138" t="s">
        <v>8</v>
      </c>
      <c r="D138" t="s">
        <v>60</v>
      </c>
      <c r="E138" t="s">
        <v>30</v>
      </c>
      <c r="F138">
        <v>1</v>
      </c>
      <c r="G138">
        <v>2</v>
      </c>
      <c r="H138">
        <v>-1</v>
      </c>
      <c r="I138">
        <v>1</v>
      </c>
      <c r="J138">
        <f>VLOOKUP(B138,'Quotazioni calciatori'!N:N,1,FALSE)</f>
        <v>7463</v>
      </c>
    </row>
    <row r="139" spans="1:10" x14ac:dyDescent="0.35">
      <c r="A139" t="str">
        <f t="shared" si="2"/>
        <v>El Azzouzi A.Frosinone</v>
      </c>
      <c r="B139">
        <v>7456</v>
      </c>
      <c r="C139" t="s">
        <v>283</v>
      </c>
      <c r="D139" t="s">
        <v>461</v>
      </c>
      <c r="E139" t="s">
        <v>30</v>
      </c>
      <c r="F139">
        <v>1</v>
      </c>
      <c r="G139">
        <v>1</v>
      </c>
      <c r="H139">
        <v>0</v>
      </c>
      <c r="I139">
        <v>1</v>
      </c>
      <c r="J139">
        <f>VLOOKUP(B139,'Quotazioni calciatori'!N:N,1,FALSE)</f>
        <v>7456</v>
      </c>
    </row>
    <row r="140" spans="1:10" x14ac:dyDescent="0.35">
      <c r="A140" t="str">
        <f t="shared" si="2"/>
        <v>Fini Frosinone</v>
      </c>
      <c r="B140">
        <v>6506</v>
      </c>
      <c r="C140" t="s">
        <v>283</v>
      </c>
      <c r="D140" t="s">
        <v>398</v>
      </c>
      <c r="E140" t="s">
        <v>30</v>
      </c>
      <c r="F140">
        <v>5</v>
      </c>
      <c r="G140">
        <v>3</v>
      </c>
      <c r="H140">
        <v>2</v>
      </c>
      <c r="I140">
        <v>11</v>
      </c>
      <c r="J140">
        <f>VLOOKUP(B140,'Quotazioni calciatori'!N:N,1,FALSE)</f>
        <v>6506</v>
      </c>
    </row>
    <row r="141" spans="1:10" x14ac:dyDescent="0.35">
      <c r="A141" t="str">
        <f t="shared" si="2"/>
        <v>Gelli F.Frosinone</v>
      </c>
      <c r="B141">
        <v>6241</v>
      </c>
      <c r="C141" t="s">
        <v>283</v>
      </c>
      <c r="D141" t="s">
        <v>449</v>
      </c>
      <c r="E141" t="s">
        <v>30</v>
      </c>
      <c r="F141">
        <v>2</v>
      </c>
      <c r="G141">
        <v>3</v>
      </c>
      <c r="H141">
        <v>-1</v>
      </c>
      <c r="I141">
        <v>6</v>
      </c>
      <c r="J141">
        <f>VLOOKUP(B141,'Quotazioni calciatori'!N:N,1,FALSE)</f>
        <v>6241</v>
      </c>
    </row>
    <row r="142" spans="1:10" x14ac:dyDescent="0.35">
      <c r="A142" t="str">
        <f t="shared" si="2"/>
        <v>GhedjemisFrosinone</v>
      </c>
      <c r="B142">
        <v>6530</v>
      </c>
      <c r="C142" t="s">
        <v>478</v>
      </c>
      <c r="D142" t="s">
        <v>512</v>
      </c>
      <c r="E142" t="s">
        <v>30</v>
      </c>
      <c r="F142">
        <v>11</v>
      </c>
      <c r="G142">
        <v>9</v>
      </c>
      <c r="H142">
        <v>2</v>
      </c>
      <c r="I142">
        <v>31</v>
      </c>
      <c r="J142">
        <f>VLOOKUP(B142,'Quotazioni calciatori'!N:N,1,FALSE)</f>
        <v>6530</v>
      </c>
    </row>
    <row r="143" spans="1:10" x14ac:dyDescent="0.35">
      <c r="A143" t="str">
        <f t="shared" si="2"/>
        <v>GrillitschFrosinone</v>
      </c>
      <c r="B143">
        <v>7550</v>
      </c>
      <c r="C143" t="s">
        <v>283</v>
      </c>
      <c r="D143" t="s">
        <v>432</v>
      </c>
      <c r="E143" t="s">
        <v>30</v>
      </c>
      <c r="F143">
        <v>4</v>
      </c>
      <c r="G143">
        <v>5</v>
      </c>
      <c r="H143">
        <v>-1</v>
      </c>
      <c r="I143">
        <v>9</v>
      </c>
      <c r="J143">
        <f>VLOOKUP(B143,'Quotazioni calciatori'!N:N,1,FALSE)</f>
        <v>7550</v>
      </c>
    </row>
    <row r="144" spans="1:10" x14ac:dyDescent="0.35">
      <c r="A144" t="str">
        <f t="shared" si="2"/>
        <v>HasaFrosinone</v>
      </c>
      <c r="B144">
        <v>6903</v>
      </c>
      <c r="C144" t="s">
        <v>283</v>
      </c>
      <c r="D144" t="s">
        <v>436</v>
      </c>
      <c r="E144" t="s">
        <v>30</v>
      </c>
      <c r="F144">
        <v>3</v>
      </c>
      <c r="G144">
        <v>2</v>
      </c>
      <c r="H144">
        <v>1</v>
      </c>
      <c r="I144">
        <v>5</v>
      </c>
      <c r="J144">
        <f>VLOOKUP(B144,'Quotazioni calciatori'!N:N,1,FALSE)</f>
        <v>6903</v>
      </c>
    </row>
    <row r="145" spans="1:10" x14ac:dyDescent="0.35">
      <c r="A145" t="str">
        <f t="shared" si="2"/>
        <v>Kone B.Frosinone</v>
      </c>
      <c r="B145">
        <v>5725</v>
      </c>
      <c r="C145" t="s">
        <v>283</v>
      </c>
      <c r="D145" t="s">
        <v>462</v>
      </c>
      <c r="E145" t="s">
        <v>30</v>
      </c>
      <c r="F145">
        <v>1</v>
      </c>
      <c r="G145">
        <v>1</v>
      </c>
      <c r="H145">
        <v>0</v>
      </c>
      <c r="I145">
        <v>3</v>
      </c>
      <c r="J145">
        <f>VLOOKUP(B145,'Quotazioni calciatori'!N:N,1,FALSE)</f>
        <v>5725</v>
      </c>
    </row>
    <row r="146" spans="1:10" x14ac:dyDescent="0.35">
      <c r="A146" t="str">
        <f t="shared" si="2"/>
        <v>KvernadzeFrosinone</v>
      </c>
      <c r="B146">
        <v>6204</v>
      </c>
      <c r="C146" t="s">
        <v>478</v>
      </c>
      <c r="D146" t="s">
        <v>513</v>
      </c>
      <c r="E146" t="s">
        <v>30</v>
      </c>
      <c r="F146">
        <v>11</v>
      </c>
      <c r="G146">
        <v>4</v>
      </c>
      <c r="H146">
        <v>7</v>
      </c>
      <c r="I146">
        <v>50</v>
      </c>
      <c r="J146">
        <f>VLOOKUP(B146,'Quotazioni calciatori'!N:N,1,FALSE)</f>
        <v>6204</v>
      </c>
    </row>
    <row r="147" spans="1:10" x14ac:dyDescent="0.35">
      <c r="A147" t="str">
        <f t="shared" si="2"/>
        <v>LolicFrosinone</v>
      </c>
      <c r="B147">
        <v>7466</v>
      </c>
      <c r="C147" t="s">
        <v>8</v>
      </c>
      <c r="D147" t="s">
        <v>61</v>
      </c>
      <c r="E147" t="s">
        <v>30</v>
      </c>
      <c r="F147">
        <v>1</v>
      </c>
      <c r="G147">
        <v>1</v>
      </c>
      <c r="H147">
        <v>0</v>
      </c>
      <c r="I147">
        <v>1</v>
      </c>
      <c r="J147" t="e">
        <f>VLOOKUP(B147,'Quotazioni calciatori'!N:N,1,FALSE)</f>
        <v>#N/A</v>
      </c>
    </row>
    <row r="148" spans="1:10" x14ac:dyDescent="0.35">
      <c r="A148" t="str">
        <f t="shared" si="2"/>
        <v>MasiniFrosinone</v>
      </c>
      <c r="B148">
        <v>6917</v>
      </c>
      <c r="C148" t="s">
        <v>283</v>
      </c>
      <c r="D148" t="s">
        <v>367</v>
      </c>
      <c r="E148" t="s">
        <v>30</v>
      </c>
      <c r="F148">
        <v>7</v>
      </c>
      <c r="G148">
        <v>2</v>
      </c>
      <c r="H148">
        <v>5</v>
      </c>
      <c r="I148">
        <v>13</v>
      </c>
      <c r="J148">
        <f>VLOOKUP(B148,'Quotazioni calciatori'!N:N,1,FALSE)</f>
        <v>6917</v>
      </c>
    </row>
    <row r="149" spans="1:10" x14ac:dyDescent="0.35">
      <c r="A149" t="str">
        <f t="shared" si="2"/>
        <v>MonterisiFrosinone</v>
      </c>
      <c r="B149">
        <v>4952</v>
      </c>
      <c r="C149" t="s">
        <v>92</v>
      </c>
      <c r="D149" t="s">
        <v>149</v>
      </c>
      <c r="E149" t="s">
        <v>30</v>
      </c>
      <c r="F149">
        <v>7</v>
      </c>
      <c r="G149">
        <v>6</v>
      </c>
      <c r="H149">
        <v>1</v>
      </c>
      <c r="I149">
        <v>12</v>
      </c>
      <c r="J149">
        <f>VLOOKUP(B149,'Quotazioni calciatori'!N:N,1,FALSE)</f>
        <v>4952</v>
      </c>
    </row>
    <row r="150" spans="1:10" x14ac:dyDescent="0.35">
      <c r="A150" t="str">
        <f t="shared" si="2"/>
        <v>Omar FayedFrosinone</v>
      </c>
      <c r="B150">
        <v>7553</v>
      </c>
      <c r="C150" t="s">
        <v>92</v>
      </c>
      <c r="D150" t="s">
        <v>278</v>
      </c>
      <c r="E150" t="s">
        <v>30</v>
      </c>
      <c r="F150">
        <v>1</v>
      </c>
      <c r="G150">
        <v>1</v>
      </c>
      <c r="H150">
        <v>0</v>
      </c>
      <c r="I150">
        <v>1</v>
      </c>
      <c r="J150">
        <f>VLOOKUP(B150,'Quotazioni calciatori'!N:N,1,FALSE)</f>
        <v>7553</v>
      </c>
    </row>
    <row r="151" spans="1:10" x14ac:dyDescent="0.35">
      <c r="A151" t="str">
        <f t="shared" si="2"/>
        <v>Oyono A.Frosinone</v>
      </c>
      <c r="B151">
        <v>6238</v>
      </c>
      <c r="C151" t="s">
        <v>92</v>
      </c>
      <c r="D151" t="s">
        <v>122</v>
      </c>
      <c r="E151" t="s">
        <v>30</v>
      </c>
      <c r="F151">
        <v>9</v>
      </c>
      <c r="G151">
        <v>5</v>
      </c>
      <c r="H151">
        <v>4</v>
      </c>
      <c r="I151">
        <v>10</v>
      </c>
      <c r="J151">
        <f>VLOOKUP(B151,'Quotazioni calciatori'!N:N,1,FALSE)</f>
        <v>6238</v>
      </c>
    </row>
    <row r="152" spans="1:10" x14ac:dyDescent="0.35">
      <c r="A152" t="str">
        <f t="shared" si="2"/>
        <v>PalmisaniFrosinone</v>
      </c>
      <c r="B152">
        <v>6415</v>
      </c>
      <c r="C152" t="s">
        <v>8</v>
      </c>
      <c r="D152" t="s">
        <v>29</v>
      </c>
      <c r="E152" t="s">
        <v>30</v>
      </c>
      <c r="F152">
        <v>9</v>
      </c>
      <c r="G152">
        <v>4</v>
      </c>
      <c r="H152">
        <v>5</v>
      </c>
      <c r="I152">
        <v>21</v>
      </c>
      <c r="J152">
        <f>VLOOKUP(B152,'Quotazioni calciatori'!N:N,1,FALSE)</f>
        <v>6415</v>
      </c>
    </row>
    <row r="153" spans="1:10" x14ac:dyDescent="0.35">
      <c r="A153" t="str">
        <f t="shared" si="2"/>
        <v>PisseriFrosinone</v>
      </c>
      <c r="B153">
        <v>7560</v>
      </c>
      <c r="C153" t="s">
        <v>8</v>
      </c>
      <c r="D153" t="s">
        <v>84</v>
      </c>
      <c r="E153" t="s">
        <v>30</v>
      </c>
      <c r="F153">
        <v>1</v>
      </c>
      <c r="G153">
        <v>1</v>
      </c>
      <c r="H153">
        <v>0</v>
      </c>
      <c r="I153">
        <v>1</v>
      </c>
      <c r="J153">
        <f>VLOOKUP(B153,'Quotazioni calciatori'!N:N,1,FALSE)</f>
        <v>7560</v>
      </c>
    </row>
    <row r="154" spans="1:10" x14ac:dyDescent="0.35">
      <c r="A154" t="str">
        <f t="shared" si="2"/>
        <v>RaimondoFrosinone</v>
      </c>
      <c r="B154">
        <v>5436</v>
      </c>
      <c r="C154" t="s">
        <v>478</v>
      </c>
      <c r="D154" t="s">
        <v>508</v>
      </c>
      <c r="E154" t="s">
        <v>30</v>
      </c>
      <c r="F154">
        <v>12</v>
      </c>
      <c r="G154">
        <v>7</v>
      </c>
      <c r="H154">
        <v>5</v>
      </c>
      <c r="I154">
        <v>60</v>
      </c>
      <c r="J154">
        <f>VLOOKUP(B154,'Quotazioni calciatori'!N:N,1,FALSE)</f>
        <v>5436</v>
      </c>
    </row>
    <row r="155" spans="1:10" x14ac:dyDescent="0.35">
      <c r="A155" t="str">
        <f t="shared" si="2"/>
        <v>SchmidFrosinone</v>
      </c>
      <c r="B155">
        <v>7551</v>
      </c>
      <c r="C155" t="s">
        <v>283</v>
      </c>
      <c r="D155" t="s">
        <v>327</v>
      </c>
      <c r="E155" t="s">
        <v>30</v>
      </c>
      <c r="F155">
        <v>11</v>
      </c>
      <c r="G155">
        <v>8</v>
      </c>
      <c r="H155">
        <v>3</v>
      </c>
      <c r="I155">
        <v>38</v>
      </c>
      <c r="J155">
        <f>VLOOKUP(B155,'Quotazioni calciatori'!N:N,1,FALSE)</f>
        <v>7551</v>
      </c>
    </row>
    <row r="156" spans="1:10" x14ac:dyDescent="0.35">
      <c r="A156" t="str">
        <f t="shared" si="2"/>
        <v>TchatoFrosinone</v>
      </c>
      <c r="B156">
        <v>7605</v>
      </c>
      <c r="C156" t="s">
        <v>92</v>
      </c>
      <c r="D156" t="s">
        <v>253</v>
      </c>
      <c r="E156" t="s">
        <v>30</v>
      </c>
      <c r="F156">
        <v>2</v>
      </c>
      <c r="G156">
        <v>3</v>
      </c>
      <c r="H156">
        <v>-1</v>
      </c>
      <c r="I156">
        <v>6</v>
      </c>
      <c r="J156">
        <f>VLOOKUP(B156,'Quotazioni calciatori'!N:N,1,FALSE)</f>
        <v>7605</v>
      </c>
    </row>
    <row r="157" spans="1:10" x14ac:dyDescent="0.35">
      <c r="A157" t="str">
        <f t="shared" si="2"/>
        <v>TerzicFrosinone</v>
      </c>
      <c r="B157">
        <v>4375</v>
      </c>
      <c r="C157" t="s">
        <v>92</v>
      </c>
      <c r="D157" t="s">
        <v>220</v>
      </c>
      <c r="E157" t="s">
        <v>30</v>
      </c>
      <c r="F157">
        <v>4</v>
      </c>
      <c r="G157">
        <v>4</v>
      </c>
      <c r="H157">
        <v>0</v>
      </c>
      <c r="I157">
        <v>5</v>
      </c>
      <c r="J157">
        <f>VLOOKUP(B157,'Quotazioni calciatori'!N:N,1,FALSE)</f>
        <v>4375</v>
      </c>
    </row>
    <row r="158" spans="1:10" x14ac:dyDescent="0.35">
      <c r="A158" t="str">
        <f t="shared" si="2"/>
        <v>ZerbinFrosinone</v>
      </c>
      <c r="B158">
        <v>5998</v>
      </c>
      <c r="C158" t="s">
        <v>283</v>
      </c>
      <c r="D158" t="s">
        <v>399</v>
      </c>
      <c r="E158" t="s">
        <v>30</v>
      </c>
      <c r="F158">
        <v>5</v>
      </c>
      <c r="G158">
        <v>5</v>
      </c>
      <c r="H158">
        <v>0</v>
      </c>
      <c r="I158">
        <v>11</v>
      </c>
      <c r="J158">
        <f>VLOOKUP(B158,'Quotazioni calciatori'!N:N,1,FALSE)</f>
        <v>5998</v>
      </c>
    </row>
    <row r="159" spans="1:10" x14ac:dyDescent="0.35">
      <c r="A159" t="str">
        <f t="shared" si="2"/>
        <v>AmorimGenoa</v>
      </c>
      <c r="B159">
        <v>7341</v>
      </c>
      <c r="C159" t="s">
        <v>283</v>
      </c>
      <c r="D159" t="s">
        <v>415</v>
      </c>
      <c r="E159" t="s">
        <v>42</v>
      </c>
      <c r="F159">
        <v>4</v>
      </c>
      <c r="G159">
        <v>4</v>
      </c>
      <c r="H159">
        <v>0</v>
      </c>
      <c r="I159">
        <v>10</v>
      </c>
      <c r="J159">
        <f>VLOOKUP(B159,'Quotazioni calciatori'!N:N,1,FALSE)</f>
        <v>7341</v>
      </c>
    </row>
    <row r="160" spans="1:10" x14ac:dyDescent="0.35">
      <c r="A160" t="str">
        <f t="shared" si="2"/>
        <v>BaldanziGenoa</v>
      </c>
      <c r="B160">
        <v>5823</v>
      </c>
      <c r="C160" t="s">
        <v>283</v>
      </c>
      <c r="D160" t="s">
        <v>331</v>
      </c>
      <c r="E160" t="s">
        <v>42</v>
      </c>
      <c r="F160">
        <v>10</v>
      </c>
      <c r="G160">
        <v>11</v>
      </c>
      <c r="H160">
        <v>-1</v>
      </c>
      <c r="I160">
        <v>21</v>
      </c>
      <c r="J160">
        <f>VLOOKUP(B160,'Quotazioni calciatori'!N:N,1,FALSE)</f>
        <v>5823</v>
      </c>
    </row>
    <row r="161" spans="1:10" x14ac:dyDescent="0.35">
      <c r="A161" t="str">
        <f t="shared" si="2"/>
        <v>BijlowGenoa</v>
      </c>
      <c r="B161">
        <v>7332</v>
      </c>
      <c r="C161" t="s">
        <v>8</v>
      </c>
      <c r="D161" t="s">
        <v>41</v>
      </c>
      <c r="E161" t="s">
        <v>42</v>
      </c>
      <c r="F161">
        <v>6</v>
      </c>
      <c r="G161">
        <v>8</v>
      </c>
      <c r="H161">
        <v>-2</v>
      </c>
      <c r="I161">
        <v>11</v>
      </c>
      <c r="J161">
        <f>VLOOKUP(B161,'Quotazioni calciatori'!N:N,1,FALSE)</f>
        <v>7332</v>
      </c>
    </row>
    <row r="162" spans="1:10" x14ac:dyDescent="0.35">
      <c r="A162" t="str">
        <f t="shared" si="2"/>
        <v>ColomboGenoa</v>
      </c>
      <c r="B162">
        <v>4923</v>
      </c>
      <c r="C162" t="s">
        <v>478</v>
      </c>
      <c r="D162" t="s">
        <v>515</v>
      </c>
      <c r="E162" t="s">
        <v>42</v>
      </c>
      <c r="F162">
        <v>10</v>
      </c>
      <c r="G162">
        <v>11</v>
      </c>
      <c r="H162">
        <v>-1</v>
      </c>
      <c r="I162">
        <v>53</v>
      </c>
      <c r="J162">
        <f>VLOOKUP(B162,'Quotazioni calciatori'!N:N,1,FALSE)</f>
        <v>4923</v>
      </c>
    </row>
    <row r="163" spans="1:10" x14ac:dyDescent="0.35">
      <c r="A163" t="str">
        <f t="shared" si="2"/>
        <v>DramehGenoa</v>
      </c>
      <c r="B163">
        <v>5742</v>
      </c>
      <c r="C163" t="s">
        <v>92</v>
      </c>
      <c r="D163" t="s">
        <v>256</v>
      </c>
      <c r="E163" t="s">
        <v>42</v>
      </c>
      <c r="F163">
        <v>2</v>
      </c>
      <c r="G163">
        <v>3</v>
      </c>
      <c r="H163">
        <v>-1</v>
      </c>
      <c r="I163">
        <v>9</v>
      </c>
      <c r="J163">
        <f>VLOOKUP(B163,'Quotazioni calciatori'!N:N,1,FALSE)</f>
        <v>5742</v>
      </c>
    </row>
    <row r="164" spans="1:10" x14ac:dyDescent="0.35">
      <c r="A164" t="str">
        <f t="shared" si="2"/>
        <v>EhizibueGenoa</v>
      </c>
      <c r="B164">
        <v>6047</v>
      </c>
      <c r="C164" t="s">
        <v>92</v>
      </c>
      <c r="D164" t="s">
        <v>222</v>
      </c>
      <c r="E164" t="s">
        <v>42</v>
      </c>
      <c r="F164">
        <v>4</v>
      </c>
      <c r="G164">
        <v>4</v>
      </c>
      <c r="H164">
        <v>0</v>
      </c>
      <c r="I164">
        <v>10</v>
      </c>
      <c r="J164">
        <f>VLOOKUP(B164,'Quotazioni calciatori'!N:N,1,FALSE)</f>
        <v>6047</v>
      </c>
    </row>
    <row r="165" spans="1:10" x14ac:dyDescent="0.35">
      <c r="A165" t="str">
        <f t="shared" si="2"/>
        <v>El ShaarawyGenoa</v>
      </c>
      <c r="B165">
        <v>795</v>
      </c>
      <c r="C165" t="s">
        <v>283</v>
      </c>
      <c r="D165" t="s">
        <v>377</v>
      </c>
      <c r="E165" t="s">
        <v>42</v>
      </c>
      <c r="F165">
        <v>7</v>
      </c>
      <c r="G165">
        <v>7</v>
      </c>
      <c r="H165">
        <v>0</v>
      </c>
      <c r="I165">
        <v>12</v>
      </c>
      <c r="J165">
        <f>VLOOKUP(B165,'Quotazioni calciatori'!N:N,1,FALSE)</f>
        <v>795</v>
      </c>
    </row>
    <row r="166" spans="1:10" x14ac:dyDescent="0.35">
      <c r="A166" t="str">
        <f t="shared" si="2"/>
        <v>EllertssonGenoa</v>
      </c>
      <c r="B166">
        <v>6020</v>
      </c>
      <c r="C166" t="s">
        <v>283</v>
      </c>
      <c r="D166" t="s">
        <v>400</v>
      </c>
      <c r="E166" t="s">
        <v>42</v>
      </c>
      <c r="F166">
        <v>5</v>
      </c>
      <c r="G166">
        <v>6</v>
      </c>
      <c r="H166">
        <v>-1</v>
      </c>
      <c r="I166">
        <v>14</v>
      </c>
      <c r="J166">
        <f>VLOOKUP(B166,'Quotazioni calciatori'!N:N,1,FALSE)</f>
        <v>6020</v>
      </c>
    </row>
    <row r="167" spans="1:10" x14ac:dyDescent="0.35">
      <c r="A167" t="str">
        <f t="shared" si="2"/>
        <v>FrendrupGenoa</v>
      </c>
      <c r="B167">
        <v>5791</v>
      </c>
      <c r="C167" t="s">
        <v>283</v>
      </c>
      <c r="D167" t="s">
        <v>366</v>
      </c>
      <c r="E167" t="s">
        <v>42</v>
      </c>
      <c r="F167">
        <v>7</v>
      </c>
      <c r="G167">
        <v>7</v>
      </c>
      <c r="H167">
        <v>0</v>
      </c>
      <c r="I167">
        <v>19</v>
      </c>
      <c r="J167">
        <f>VLOOKUP(B167,'Quotazioni calciatori'!N:N,1,FALSE)</f>
        <v>5791</v>
      </c>
    </row>
    <row r="168" spans="1:10" x14ac:dyDescent="0.35">
      <c r="A168" t="str">
        <f t="shared" si="2"/>
        <v>HavelGenoa</v>
      </c>
      <c r="B168">
        <v>7453</v>
      </c>
      <c r="C168" t="s">
        <v>478</v>
      </c>
      <c r="D168" t="s">
        <v>553</v>
      </c>
      <c r="E168" t="s">
        <v>42</v>
      </c>
      <c r="F168">
        <v>3</v>
      </c>
      <c r="G168">
        <v>4</v>
      </c>
      <c r="H168">
        <v>-1</v>
      </c>
      <c r="I168">
        <v>4</v>
      </c>
      <c r="J168">
        <f>VLOOKUP(B168,'Quotazioni calciatori'!N:N,1,FALSE)</f>
        <v>7453</v>
      </c>
    </row>
    <row r="169" spans="1:10" x14ac:dyDescent="0.35">
      <c r="A169" t="str">
        <f t="shared" si="2"/>
        <v>MarcandalliGenoa</v>
      </c>
      <c r="B169">
        <v>6660</v>
      </c>
      <c r="C169" t="s">
        <v>92</v>
      </c>
      <c r="D169" t="s">
        <v>185</v>
      </c>
      <c r="E169" t="s">
        <v>42</v>
      </c>
      <c r="F169">
        <v>5</v>
      </c>
      <c r="G169">
        <v>6</v>
      </c>
      <c r="H169">
        <v>-1</v>
      </c>
      <c r="I169">
        <v>12</v>
      </c>
      <c r="J169">
        <f>VLOOKUP(B169,'Quotazioni calciatori'!N:N,1,FALSE)</f>
        <v>6660</v>
      </c>
    </row>
    <row r="170" spans="1:10" x14ac:dyDescent="0.35">
      <c r="A170" t="str">
        <f t="shared" si="2"/>
        <v>MeichtryGenoa</v>
      </c>
      <c r="B170">
        <v>7409</v>
      </c>
      <c r="C170" t="s">
        <v>283</v>
      </c>
      <c r="D170" t="s">
        <v>416</v>
      </c>
      <c r="E170" t="s">
        <v>42</v>
      </c>
      <c r="F170">
        <v>4</v>
      </c>
      <c r="G170">
        <v>5</v>
      </c>
      <c r="H170">
        <v>-1</v>
      </c>
      <c r="I170">
        <v>9</v>
      </c>
      <c r="J170">
        <f>VLOOKUP(B170,'Quotazioni calciatori'!N:N,1,FALSE)</f>
        <v>7409</v>
      </c>
    </row>
    <row r="171" spans="1:10" x14ac:dyDescent="0.35">
      <c r="A171" t="str">
        <f t="shared" si="2"/>
        <v>MessiasGenoa</v>
      </c>
      <c r="B171">
        <v>4970</v>
      </c>
      <c r="C171" t="s">
        <v>283</v>
      </c>
      <c r="D171" t="s">
        <v>368</v>
      </c>
      <c r="E171" t="s">
        <v>42</v>
      </c>
      <c r="F171">
        <v>7</v>
      </c>
      <c r="G171">
        <v>3</v>
      </c>
      <c r="H171">
        <v>4</v>
      </c>
      <c r="I171">
        <v>8</v>
      </c>
      <c r="J171">
        <f>VLOOKUP(B171,'Quotazioni calciatori'!N:N,1,FALSE)</f>
        <v>4970</v>
      </c>
    </row>
    <row r="172" spans="1:10" x14ac:dyDescent="0.35">
      <c r="A172" t="str">
        <f t="shared" si="2"/>
        <v>MitajGenoa</v>
      </c>
      <c r="B172">
        <v>7537</v>
      </c>
      <c r="C172" t="s">
        <v>92</v>
      </c>
      <c r="D172" t="s">
        <v>227</v>
      </c>
      <c r="E172" t="s">
        <v>42</v>
      </c>
      <c r="F172">
        <v>3</v>
      </c>
      <c r="G172">
        <v>4</v>
      </c>
      <c r="H172">
        <v>-1</v>
      </c>
      <c r="I172">
        <v>7</v>
      </c>
      <c r="J172">
        <f>VLOOKUP(B172,'Quotazioni calciatori'!N:N,1,FALSE)</f>
        <v>7537</v>
      </c>
    </row>
    <row r="173" spans="1:10" x14ac:dyDescent="0.35">
      <c r="A173" t="str">
        <f t="shared" si="2"/>
        <v>OsmajicGenoa</v>
      </c>
      <c r="B173">
        <v>7600</v>
      </c>
      <c r="C173" t="s">
        <v>478</v>
      </c>
      <c r="D173" t="s">
        <v>521</v>
      </c>
      <c r="E173" t="s">
        <v>42</v>
      </c>
      <c r="F173">
        <v>10</v>
      </c>
      <c r="G173">
        <v>8</v>
      </c>
      <c r="H173">
        <v>2</v>
      </c>
      <c r="I173">
        <v>36</v>
      </c>
      <c r="J173">
        <f>VLOOKUP(B173,'Quotazioni calciatori'!N:N,1,FALSE)</f>
        <v>7600</v>
      </c>
    </row>
    <row r="174" spans="1:10" x14ac:dyDescent="0.35">
      <c r="A174" t="str">
        <f t="shared" si="2"/>
        <v>OstigardGenoa</v>
      </c>
      <c r="B174">
        <v>5750</v>
      </c>
      <c r="C174" t="s">
        <v>92</v>
      </c>
      <c r="D174" t="s">
        <v>114</v>
      </c>
      <c r="E174" t="s">
        <v>42</v>
      </c>
      <c r="F174">
        <v>10</v>
      </c>
      <c r="G174">
        <v>11</v>
      </c>
      <c r="H174">
        <v>-1</v>
      </c>
      <c r="I174">
        <v>26</v>
      </c>
      <c r="J174">
        <f>VLOOKUP(B174,'Quotazioni calciatori'!N:N,1,FALSE)</f>
        <v>5750</v>
      </c>
    </row>
    <row r="175" spans="1:10" x14ac:dyDescent="0.35">
      <c r="A175" t="str">
        <f t="shared" si="2"/>
        <v>OtoaGenoa</v>
      </c>
      <c r="B175">
        <v>6977</v>
      </c>
      <c r="C175" t="s">
        <v>92</v>
      </c>
      <c r="D175" t="s">
        <v>243</v>
      </c>
      <c r="E175" t="s">
        <v>42</v>
      </c>
      <c r="F175">
        <v>2</v>
      </c>
      <c r="G175">
        <v>2</v>
      </c>
      <c r="H175">
        <v>0</v>
      </c>
      <c r="I175">
        <v>5</v>
      </c>
      <c r="J175">
        <f>VLOOKUP(B175,'Quotazioni calciatori'!N:N,1,FALSE)</f>
        <v>6977</v>
      </c>
    </row>
    <row r="176" spans="1:10" x14ac:dyDescent="0.35">
      <c r="A176" t="str">
        <f t="shared" si="2"/>
        <v>PuczkaGenoa</v>
      </c>
      <c r="B176">
        <v>7413</v>
      </c>
      <c r="C176" t="s">
        <v>92</v>
      </c>
      <c r="D176" t="s">
        <v>244</v>
      </c>
      <c r="E176" t="s">
        <v>42</v>
      </c>
      <c r="F176">
        <v>2</v>
      </c>
      <c r="G176">
        <v>2</v>
      </c>
      <c r="H176">
        <v>0</v>
      </c>
      <c r="I176">
        <v>3</v>
      </c>
      <c r="J176">
        <f>VLOOKUP(B176,'Quotazioni calciatori'!N:N,1,FALSE)</f>
        <v>7413</v>
      </c>
    </row>
    <row r="177" spans="1:10" x14ac:dyDescent="0.35">
      <c r="A177" t="str">
        <f t="shared" si="2"/>
        <v>Robinho JuniorGenoa</v>
      </c>
      <c r="B177">
        <v>7622</v>
      </c>
      <c r="C177" t="s">
        <v>478</v>
      </c>
      <c r="D177" t="s">
        <v>564</v>
      </c>
      <c r="E177" t="s">
        <v>42</v>
      </c>
      <c r="F177">
        <v>1</v>
      </c>
      <c r="G177">
        <v>1</v>
      </c>
      <c r="H177">
        <v>0</v>
      </c>
      <c r="I177">
        <v>1</v>
      </c>
      <c r="J177">
        <f>VLOOKUP(B177,'Quotazioni calciatori'!N:N,1,FALSE)</f>
        <v>7622</v>
      </c>
    </row>
    <row r="178" spans="1:10" x14ac:dyDescent="0.35">
      <c r="A178" t="str">
        <f t="shared" si="2"/>
        <v>SabelliGenoa</v>
      </c>
      <c r="B178">
        <v>791</v>
      </c>
      <c r="C178" t="s">
        <v>92</v>
      </c>
      <c r="D178" t="s">
        <v>245</v>
      </c>
      <c r="E178" t="s">
        <v>42</v>
      </c>
      <c r="F178">
        <v>2</v>
      </c>
      <c r="G178">
        <v>2</v>
      </c>
      <c r="H178">
        <v>0</v>
      </c>
      <c r="I178">
        <v>5</v>
      </c>
      <c r="J178">
        <f>VLOOKUP(B178,'Quotazioni calciatori'!N:N,1,FALSE)</f>
        <v>791</v>
      </c>
    </row>
    <row r="179" spans="1:10" x14ac:dyDescent="0.35">
      <c r="A179" t="str">
        <f t="shared" si="2"/>
        <v>SommarivaGenoa</v>
      </c>
      <c r="B179">
        <v>219</v>
      </c>
      <c r="C179" t="s">
        <v>8</v>
      </c>
      <c r="D179" t="s">
        <v>62</v>
      </c>
      <c r="E179" t="s">
        <v>42</v>
      </c>
      <c r="F179">
        <v>1</v>
      </c>
      <c r="G179">
        <v>1</v>
      </c>
      <c r="H179">
        <v>0</v>
      </c>
      <c r="I179">
        <v>1</v>
      </c>
      <c r="J179">
        <f>VLOOKUP(B179,'Quotazioni calciatori'!N:N,1,FALSE)</f>
        <v>219</v>
      </c>
    </row>
    <row r="180" spans="1:10" x14ac:dyDescent="0.35">
      <c r="A180" t="str">
        <f t="shared" si="2"/>
        <v>SowGenoa</v>
      </c>
      <c r="B180">
        <v>5946</v>
      </c>
      <c r="C180" t="s">
        <v>283</v>
      </c>
      <c r="D180" t="s">
        <v>372</v>
      </c>
      <c r="E180" t="s">
        <v>42</v>
      </c>
      <c r="F180">
        <v>7</v>
      </c>
      <c r="G180">
        <v>7</v>
      </c>
      <c r="H180">
        <v>0</v>
      </c>
      <c r="I180">
        <v>15</v>
      </c>
      <c r="J180">
        <f>VLOOKUP(B180,'Quotazioni calciatori'!N:N,1,FALSE)</f>
        <v>5946</v>
      </c>
    </row>
    <row r="181" spans="1:10" x14ac:dyDescent="0.35">
      <c r="A181" t="str">
        <f t="shared" si="2"/>
        <v>StolzGenoa</v>
      </c>
      <c r="B181">
        <v>6569</v>
      </c>
      <c r="C181" t="s">
        <v>8</v>
      </c>
      <c r="D181" t="s">
        <v>63</v>
      </c>
      <c r="E181" t="s">
        <v>42</v>
      </c>
      <c r="F181">
        <v>1</v>
      </c>
      <c r="G181">
        <v>1</v>
      </c>
      <c r="H181">
        <v>0</v>
      </c>
      <c r="I181">
        <v>1</v>
      </c>
      <c r="J181">
        <f>VLOOKUP(B181,'Quotazioni calciatori'!N:N,1,FALSE)</f>
        <v>6569</v>
      </c>
    </row>
    <row r="182" spans="1:10" x14ac:dyDescent="0.35">
      <c r="A182" t="str">
        <f t="shared" si="2"/>
        <v>Traorè Hj.Genoa</v>
      </c>
      <c r="B182">
        <v>2857</v>
      </c>
      <c r="C182" t="s">
        <v>283</v>
      </c>
      <c r="D182" t="s">
        <v>417</v>
      </c>
      <c r="E182" t="s">
        <v>42</v>
      </c>
      <c r="F182">
        <v>4</v>
      </c>
      <c r="G182">
        <v>5</v>
      </c>
      <c r="H182">
        <v>-1</v>
      </c>
      <c r="I182">
        <v>9</v>
      </c>
      <c r="J182">
        <f>VLOOKUP(B182,'Quotazioni calciatori'!N:N,1,FALSE)</f>
        <v>2857</v>
      </c>
    </row>
    <row r="183" spans="1:10" x14ac:dyDescent="0.35">
      <c r="A183" t="str">
        <f t="shared" si="2"/>
        <v>VasquezGenoa</v>
      </c>
      <c r="B183">
        <v>5514</v>
      </c>
      <c r="C183" t="s">
        <v>92</v>
      </c>
      <c r="D183" t="s">
        <v>123</v>
      </c>
      <c r="E183" t="s">
        <v>42</v>
      </c>
      <c r="F183">
        <v>9</v>
      </c>
      <c r="G183">
        <v>9</v>
      </c>
      <c r="H183">
        <v>0</v>
      </c>
      <c r="I183">
        <v>28</v>
      </c>
      <c r="J183">
        <f>VLOOKUP(B183,'Quotazioni calciatori'!N:N,1,FALSE)</f>
        <v>5514</v>
      </c>
    </row>
    <row r="184" spans="1:10" x14ac:dyDescent="0.35">
      <c r="A184" t="str">
        <f t="shared" si="2"/>
        <v>VenturinoGenoa</v>
      </c>
      <c r="B184">
        <v>6980</v>
      </c>
      <c r="C184" t="s">
        <v>283</v>
      </c>
      <c r="D184" t="s">
        <v>463</v>
      </c>
      <c r="E184" t="s">
        <v>42</v>
      </c>
      <c r="F184">
        <v>1</v>
      </c>
      <c r="G184">
        <v>2</v>
      </c>
      <c r="H184">
        <v>-1</v>
      </c>
      <c r="I184">
        <v>4</v>
      </c>
      <c r="J184">
        <f>VLOOKUP(B184,'Quotazioni calciatori'!N:N,1,FALSE)</f>
        <v>6980</v>
      </c>
    </row>
    <row r="185" spans="1:10" x14ac:dyDescent="0.35">
      <c r="A185" t="str">
        <f t="shared" si="2"/>
        <v>Vitinha O.Genoa</v>
      </c>
      <c r="B185">
        <v>6164</v>
      </c>
      <c r="C185" t="s">
        <v>478</v>
      </c>
      <c r="D185" t="s">
        <v>529</v>
      </c>
      <c r="E185" t="s">
        <v>42</v>
      </c>
      <c r="F185">
        <v>7</v>
      </c>
      <c r="G185">
        <v>8</v>
      </c>
      <c r="H185">
        <v>-1</v>
      </c>
      <c r="I185">
        <v>11</v>
      </c>
      <c r="J185">
        <f>VLOOKUP(B185,'Quotazioni calciatori'!N:N,1,FALSE)</f>
        <v>6164</v>
      </c>
    </row>
    <row r="186" spans="1:10" x14ac:dyDescent="0.35">
      <c r="A186" t="str">
        <f t="shared" si="2"/>
        <v>AkanjiInter</v>
      </c>
      <c r="B186">
        <v>4159</v>
      </c>
      <c r="C186" t="s">
        <v>92</v>
      </c>
      <c r="D186" t="s">
        <v>99</v>
      </c>
      <c r="E186" t="s">
        <v>18</v>
      </c>
      <c r="F186">
        <v>14</v>
      </c>
      <c r="G186">
        <v>16</v>
      </c>
      <c r="H186">
        <v>-2</v>
      </c>
      <c r="I186">
        <v>41</v>
      </c>
      <c r="J186">
        <f>VLOOKUP(B186,'Quotazioni calciatori'!N:N,1,FALSE)</f>
        <v>4159</v>
      </c>
    </row>
    <row r="187" spans="1:10" x14ac:dyDescent="0.35">
      <c r="A187" t="str">
        <f t="shared" si="2"/>
        <v>BarellaInter</v>
      </c>
      <c r="B187">
        <v>1870</v>
      </c>
      <c r="C187" t="s">
        <v>283</v>
      </c>
      <c r="D187" t="s">
        <v>292</v>
      </c>
      <c r="E187" t="s">
        <v>18</v>
      </c>
      <c r="F187">
        <v>18</v>
      </c>
      <c r="G187">
        <v>17</v>
      </c>
      <c r="H187">
        <v>1</v>
      </c>
      <c r="I187">
        <v>84</v>
      </c>
      <c r="J187">
        <f>VLOOKUP(B187,'Quotazioni calciatori'!N:N,1,FALSE)</f>
        <v>1870</v>
      </c>
    </row>
    <row r="188" spans="1:10" x14ac:dyDescent="0.35">
      <c r="A188" t="str">
        <f t="shared" si="2"/>
        <v>BastoniInter</v>
      </c>
      <c r="B188">
        <v>2120</v>
      </c>
      <c r="C188" t="s">
        <v>92</v>
      </c>
      <c r="D188" t="s">
        <v>100</v>
      </c>
      <c r="E188" t="s">
        <v>18</v>
      </c>
      <c r="F188">
        <v>13</v>
      </c>
      <c r="G188">
        <v>14</v>
      </c>
      <c r="H188">
        <v>-1</v>
      </c>
      <c r="I188">
        <v>40</v>
      </c>
      <c r="J188">
        <f>VLOOKUP(B188,'Quotazioni calciatori'!N:N,1,FALSE)</f>
        <v>2120</v>
      </c>
    </row>
    <row r="189" spans="1:10" x14ac:dyDescent="0.35">
      <c r="A189" t="str">
        <f t="shared" si="2"/>
        <v>BisseckInter</v>
      </c>
      <c r="B189">
        <v>6217</v>
      </c>
      <c r="C189" t="s">
        <v>92</v>
      </c>
      <c r="D189" t="s">
        <v>101</v>
      </c>
      <c r="E189" t="s">
        <v>18</v>
      </c>
      <c r="F189">
        <v>13</v>
      </c>
      <c r="G189">
        <v>11</v>
      </c>
      <c r="H189">
        <v>2</v>
      </c>
      <c r="I189">
        <v>34</v>
      </c>
      <c r="J189">
        <f>VLOOKUP(B189,'Quotazioni calciatori'!N:N,1,FALSE)</f>
        <v>6217</v>
      </c>
    </row>
    <row r="190" spans="1:10" x14ac:dyDescent="0.35">
      <c r="A190" t="str">
        <f t="shared" si="2"/>
        <v>BonnyInter</v>
      </c>
      <c r="B190">
        <v>6669</v>
      </c>
      <c r="C190" t="s">
        <v>478</v>
      </c>
      <c r="D190" t="s">
        <v>524</v>
      </c>
      <c r="E190" t="s">
        <v>18</v>
      </c>
      <c r="F190">
        <v>8</v>
      </c>
      <c r="G190">
        <v>7</v>
      </c>
      <c r="H190">
        <v>1</v>
      </c>
      <c r="I190">
        <v>16</v>
      </c>
      <c r="J190">
        <f>VLOOKUP(B190,'Quotazioni calciatori'!N:N,1,FALSE)</f>
        <v>6669</v>
      </c>
    </row>
    <row r="191" spans="1:10" x14ac:dyDescent="0.35">
      <c r="A191" t="str">
        <f t="shared" si="2"/>
        <v>CalhanogluInter</v>
      </c>
      <c r="B191">
        <v>2194</v>
      </c>
      <c r="C191" t="s">
        <v>283</v>
      </c>
      <c r="D191" t="s">
        <v>285</v>
      </c>
      <c r="E191" t="s">
        <v>18</v>
      </c>
      <c r="F191">
        <v>27</v>
      </c>
      <c r="G191">
        <v>27</v>
      </c>
      <c r="H191">
        <v>0</v>
      </c>
      <c r="I191">
        <v>220</v>
      </c>
      <c r="J191">
        <f>VLOOKUP(B191,'Quotazioni calciatori'!N:N,1,FALSE)</f>
        <v>2194</v>
      </c>
    </row>
    <row r="192" spans="1:10" x14ac:dyDescent="0.35">
      <c r="A192" t="str">
        <f t="shared" si="2"/>
        <v>Carlos AugustoInter</v>
      </c>
      <c r="B192">
        <v>5877</v>
      </c>
      <c r="C192" t="s">
        <v>92</v>
      </c>
      <c r="D192" t="s">
        <v>115</v>
      </c>
      <c r="E192" t="s">
        <v>18</v>
      </c>
      <c r="F192">
        <v>10</v>
      </c>
      <c r="G192">
        <v>7</v>
      </c>
      <c r="H192">
        <v>3</v>
      </c>
      <c r="I192">
        <v>27</v>
      </c>
      <c r="J192">
        <f>VLOOKUP(B192,'Quotazioni calciatori'!N:N,1,FALSE)</f>
        <v>5877</v>
      </c>
    </row>
    <row r="193" spans="1:10" x14ac:dyDescent="0.35">
      <c r="A193" t="str">
        <f t="shared" si="2"/>
        <v>Di GennaroInter</v>
      </c>
      <c r="B193">
        <v>1926</v>
      </c>
      <c r="C193" t="s">
        <v>8</v>
      </c>
      <c r="D193" t="s">
        <v>64</v>
      </c>
      <c r="E193" t="s">
        <v>18</v>
      </c>
      <c r="F193">
        <v>1</v>
      </c>
      <c r="G193">
        <v>1</v>
      </c>
      <c r="H193">
        <v>0</v>
      </c>
      <c r="I193">
        <v>1</v>
      </c>
      <c r="J193">
        <f>VLOOKUP(B193,'Quotazioni calciatori'!N:N,1,FALSE)</f>
        <v>1926</v>
      </c>
    </row>
    <row r="194" spans="1:10" x14ac:dyDescent="0.35">
      <c r="A194" t="str">
        <f t="shared" ref="A194:A257" si="3">CONCATENATE(D194,E194)</f>
        <v>DimarcoInter</v>
      </c>
      <c r="B194">
        <v>254</v>
      </c>
      <c r="C194" t="s">
        <v>92</v>
      </c>
      <c r="D194" t="s">
        <v>93</v>
      </c>
      <c r="E194" t="s">
        <v>18</v>
      </c>
      <c r="F194">
        <v>29</v>
      </c>
      <c r="G194">
        <v>32</v>
      </c>
      <c r="H194">
        <v>-3</v>
      </c>
      <c r="I194">
        <v>210</v>
      </c>
      <c r="J194">
        <f>VLOOKUP(B194,'Quotazioni calciatori'!N:N,1,FALSE)</f>
        <v>254</v>
      </c>
    </row>
    <row r="195" spans="1:10" x14ac:dyDescent="0.35">
      <c r="A195" t="str">
        <f t="shared" si="3"/>
        <v>DioufInter</v>
      </c>
      <c r="B195">
        <v>6274</v>
      </c>
      <c r="C195" t="s">
        <v>283</v>
      </c>
      <c r="D195" t="s">
        <v>318</v>
      </c>
      <c r="E195" t="s">
        <v>18</v>
      </c>
      <c r="F195">
        <v>11</v>
      </c>
      <c r="G195">
        <v>8</v>
      </c>
      <c r="H195">
        <v>3</v>
      </c>
      <c r="I195">
        <v>56</v>
      </c>
      <c r="J195">
        <f>VLOOKUP(B195,'Quotazioni calciatori'!N:N,1,FALSE)</f>
        <v>6274</v>
      </c>
    </row>
    <row r="196" spans="1:10" x14ac:dyDescent="0.35">
      <c r="A196" t="str">
        <f t="shared" si="3"/>
        <v>Esposito F.P.Inter</v>
      </c>
      <c r="B196">
        <v>7071</v>
      </c>
      <c r="C196" t="s">
        <v>478</v>
      </c>
      <c r="D196" t="s">
        <v>491</v>
      </c>
      <c r="E196" t="s">
        <v>18</v>
      </c>
      <c r="F196">
        <v>18</v>
      </c>
      <c r="G196">
        <v>16</v>
      </c>
      <c r="H196">
        <v>2</v>
      </c>
      <c r="I196">
        <v>107</v>
      </c>
      <c r="J196">
        <f>VLOOKUP(B196,'Quotazioni calciatori'!N:N,1,FALSE)</f>
        <v>7071</v>
      </c>
    </row>
    <row r="197" spans="1:10" x14ac:dyDescent="0.35">
      <c r="A197" t="str">
        <f t="shared" si="3"/>
        <v>Jones C.Inter</v>
      </c>
      <c r="B197">
        <v>5172</v>
      </c>
      <c r="C197" t="s">
        <v>283</v>
      </c>
      <c r="D197" t="s">
        <v>314</v>
      </c>
      <c r="E197" t="s">
        <v>18</v>
      </c>
      <c r="F197">
        <v>12</v>
      </c>
      <c r="G197">
        <v>12</v>
      </c>
      <c r="H197">
        <v>0</v>
      </c>
      <c r="I197">
        <v>33</v>
      </c>
      <c r="J197">
        <f>VLOOKUP(B197,'Quotazioni calciatori'!N:N,1,FALSE)</f>
        <v>5172</v>
      </c>
    </row>
    <row r="198" spans="1:10" x14ac:dyDescent="0.35">
      <c r="A198" t="str">
        <f t="shared" si="3"/>
        <v>Luis HenriqueInter</v>
      </c>
      <c r="B198">
        <v>5301</v>
      </c>
      <c r="C198" t="s">
        <v>283</v>
      </c>
      <c r="D198" t="s">
        <v>401</v>
      </c>
      <c r="E198" t="s">
        <v>18</v>
      </c>
      <c r="F198">
        <v>5</v>
      </c>
      <c r="G198">
        <v>4</v>
      </c>
      <c r="H198">
        <v>1</v>
      </c>
      <c r="I198">
        <v>12</v>
      </c>
      <c r="J198">
        <f>VLOOKUP(B198,'Quotazioni calciatori'!N:N,1,FALSE)</f>
        <v>5301</v>
      </c>
    </row>
    <row r="199" spans="1:10" x14ac:dyDescent="0.35">
      <c r="A199" t="str">
        <f t="shared" si="3"/>
        <v>Martinez Jo.Inter</v>
      </c>
      <c r="B199">
        <v>5116</v>
      </c>
      <c r="C199" t="s">
        <v>8</v>
      </c>
      <c r="D199" t="s">
        <v>17</v>
      </c>
      <c r="E199" t="s">
        <v>18</v>
      </c>
      <c r="F199">
        <v>14</v>
      </c>
      <c r="G199">
        <v>17</v>
      </c>
      <c r="H199">
        <v>-3</v>
      </c>
      <c r="I199">
        <v>63</v>
      </c>
      <c r="J199">
        <f>VLOOKUP(B199,'Quotazioni calciatori'!N:N,1,FALSE)</f>
        <v>5116</v>
      </c>
    </row>
    <row r="200" spans="1:10" x14ac:dyDescent="0.35">
      <c r="A200" t="str">
        <f t="shared" si="3"/>
        <v>Martinez L.Inter</v>
      </c>
      <c r="B200">
        <v>2764</v>
      </c>
      <c r="C200" t="s">
        <v>478</v>
      </c>
      <c r="D200" t="s">
        <v>480</v>
      </c>
      <c r="E200" t="s">
        <v>18</v>
      </c>
      <c r="F200">
        <v>36</v>
      </c>
      <c r="G200">
        <v>35</v>
      </c>
      <c r="H200">
        <v>1</v>
      </c>
      <c r="I200">
        <v>418</v>
      </c>
      <c r="J200">
        <f>VLOOKUP(B200,'Quotazioni calciatori'!N:N,1,FALSE)</f>
        <v>2764</v>
      </c>
    </row>
    <row r="201" spans="1:10" x14ac:dyDescent="0.35">
      <c r="A201" t="str">
        <f t="shared" si="3"/>
        <v>MkhitaryanInter</v>
      </c>
      <c r="B201">
        <v>2529</v>
      </c>
      <c r="C201" t="s">
        <v>283</v>
      </c>
      <c r="D201" t="s">
        <v>418</v>
      </c>
      <c r="E201" t="s">
        <v>18</v>
      </c>
      <c r="F201">
        <v>4</v>
      </c>
      <c r="G201">
        <v>5</v>
      </c>
      <c r="H201">
        <v>-1</v>
      </c>
      <c r="I201">
        <v>10</v>
      </c>
      <c r="J201">
        <f>VLOOKUP(B201,'Quotazioni calciatori'!N:N,1,FALSE)</f>
        <v>2529</v>
      </c>
    </row>
    <row r="202" spans="1:10" x14ac:dyDescent="0.35">
      <c r="A202" t="str">
        <f t="shared" si="3"/>
        <v>PavardInter</v>
      </c>
      <c r="B202">
        <v>4177</v>
      </c>
      <c r="C202" t="s">
        <v>92</v>
      </c>
      <c r="D202" t="s">
        <v>186</v>
      </c>
      <c r="E202" t="s">
        <v>18</v>
      </c>
      <c r="F202">
        <v>5</v>
      </c>
      <c r="G202">
        <v>6</v>
      </c>
      <c r="H202">
        <v>-1</v>
      </c>
      <c r="I202">
        <v>12</v>
      </c>
      <c r="J202">
        <f>VLOOKUP(B202,'Quotazioni calciatori'!N:N,1,FALSE)</f>
        <v>4177</v>
      </c>
    </row>
    <row r="203" spans="1:10" x14ac:dyDescent="0.35">
      <c r="A203" t="str">
        <f t="shared" si="3"/>
        <v>ProvedelInter</v>
      </c>
      <c r="B203">
        <v>2814</v>
      </c>
      <c r="C203" t="s">
        <v>8</v>
      </c>
      <c r="D203" t="s">
        <v>65</v>
      </c>
      <c r="E203" t="s">
        <v>18</v>
      </c>
      <c r="F203">
        <v>1</v>
      </c>
      <c r="G203">
        <v>2</v>
      </c>
      <c r="H203">
        <v>-1</v>
      </c>
      <c r="I203">
        <v>5</v>
      </c>
      <c r="J203">
        <f>VLOOKUP(B203,'Quotazioni calciatori'!N:N,1,FALSE)</f>
        <v>2814</v>
      </c>
    </row>
    <row r="204" spans="1:10" x14ac:dyDescent="0.35">
      <c r="A204" t="str">
        <f t="shared" si="3"/>
        <v>SpenceInter</v>
      </c>
      <c r="B204">
        <v>5982</v>
      </c>
      <c r="C204" t="s">
        <v>92</v>
      </c>
      <c r="D204" t="s">
        <v>118</v>
      </c>
      <c r="E204" t="s">
        <v>18</v>
      </c>
      <c r="F204">
        <v>10</v>
      </c>
      <c r="G204">
        <v>12</v>
      </c>
      <c r="H204">
        <v>-2</v>
      </c>
      <c r="I204">
        <v>17</v>
      </c>
      <c r="J204">
        <f>VLOOKUP(B204,'Quotazioni calciatori'!N:N,1,FALSE)</f>
        <v>5982</v>
      </c>
    </row>
    <row r="205" spans="1:10" x14ac:dyDescent="0.35">
      <c r="A205" t="str">
        <f t="shared" si="3"/>
        <v>Stankovic A.Inter</v>
      </c>
      <c r="B205">
        <v>6503</v>
      </c>
      <c r="C205" t="s">
        <v>283</v>
      </c>
      <c r="D205" t="s">
        <v>450</v>
      </c>
      <c r="E205" t="s">
        <v>18</v>
      </c>
      <c r="F205">
        <v>2</v>
      </c>
      <c r="G205">
        <v>3</v>
      </c>
      <c r="H205">
        <v>-1</v>
      </c>
      <c r="I205">
        <v>7</v>
      </c>
      <c r="J205">
        <f>VLOOKUP(B205,'Quotazioni calciatori'!N:N,1,FALSE)</f>
        <v>6503</v>
      </c>
    </row>
    <row r="206" spans="1:10" x14ac:dyDescent="0.35">
      <c r="A206" t="str">
        <f t="shared" si="3"/>
        <v>StonesInter</v>
      </c>
      <c r="B206">
        <v>2514</v>
      </c>
      <c r="C206" t="s">
        <v>92</v>
      </c>
      <c r="D206" t="s">
        <v>109</v>
      </c>
      <c r="E206" t="s">
        <v>18</v>
      </c>
      <c r="F206">
        <v>11</v>
      </c>
      <c r="G206">
        <v>12</v>
      </c>
      <c r="H206">
        <v>-1</v>
      </c>
      <c r="I206">
        <v>14</v>
      </c>
      <c r="J206">
        <f>VLOOKUP(B206,'Quotazioni calciatori'!N:N,1,FALSE)</f>
        <v>2514</v>
      </c>
    </row>
    <row r="207" spans="1:10" x14ac:dyDescent="0.35">
      <c r="A207" t="str">
        <f t="shared" si="3"/>
        <v>Sucic P.Inter</v>
      </c>
      <c r="B207">
        <v>7070</v>
      </c>
      <c r="C207" t="s">
        <v>283</v>
      </c>
      <c r="D207" t="s">
        <v>337</v>
      </c>
      <c r="E207" t="s">
        <v>18</v>
      </c>
      <c r="F207">
        <v>9</v>
      </c>
      <c r="G207">
        <v>8</v>
      </c>
      <c r="H207">
        <v>1</v>
      </c>
      <c r="I207">
        <v>19</v>
      </c>
      <c r="J207">
        <f>VLOOKUP(B207,'Quotazioni calciatori'!N:N,1,FALSE)</f>
        <v>7070</v>
      </c>
    </row>
    <row r="208" spans="1:10" x14ac:dyDescent="0.35">
      <c r="A208" t="str">
        <f t="shared" si="3"/>
        <v>ThuramInter</v>
      </c>
      <c r="B208">
        <v>4871</v>
      </c>
      <c r="C208" t="s">
        <v>478</v>
      </c>
      <c r="D208" t="s">
        <v>481</v>
      </c>
      <c r="E208" t="s">
        <v>18</v>
      </c>
      <c r="F208">
        <v>31</v>
      </c>
      <c r="G208">
        <v>29</v>
      </c>
      <c r="H208">
        <v>2</v>
      </c>
      <c r="I208">
        <v>275</v>
      </c>
      <c r="J208">
        <f>VLOOKUP(B208,'Quotazioni calciatori'!N:N,1,FALSE)</f>
        <v>4871</v>
      </c>
    </row>
    <row r="209" spans="1:10" x14ac:dyDescent="0.35">
      <c r="A209" t="str">
        <f t="shared" si="3"/>
        <v>ZielinskiInter</v>
      </c>
      <c r="B209">
        <v>152</v>
      </c>
      <c r="C209" t="s">
        <v>283</v>
      </c>
      <c r="D209" t="s">
        <v>307</v>
      </c>
      <c r="E209" t="s">
        <v>18</v>
      </c>
      <c r="F209">
        <v>13</v>
      </c>
      <c r="G209">
        <v>10</v>
      </c>
      <c r="H209">
        <v>3</v>
      </c>
      <c r="I209">
        <v>41</v>
      </c>
      <c r="J209">
        <f>VLOOKUP(B209,'Quotazioni calciatori'!N:N,1,FALSE)</f>
        <v>152</v>
      </c>
    </row>
    <row r="210" spans="1:10" x14ac:dyDescent="0.35">
      <c r="A210" t="str">
        <f t="shared" si="3"/>
        <v>AlajbegovicJuventus</v>
      </c>
      <c r="B210">
        <v>7436</v>
      </c>
      <c r="C210" t="s">
        <v>283</v>
      </c>
      <c r="D210" t="s">
        <v>319</v>
      </c>
      <c r="E210" t="s">
        <v>14</v>
      </c>
      <c r="F210">
        <v>11</v>
      </c>
      <c r="G210">
        <v>12</v>
      </c>
      <c r="H210">
        <v>-1</v>
      </c>
      <c r="I210">
        <v>40</v>
      </c>
      <c r="J210">
        <f>VLOOKUP(B210,'Quotazioni calciatori'!N:N,1,FALSE)</f>
        <v>7436</v>
      </c>
    </row>
    <row r="211" spans="1:10" x14ac:dyDescent="0.35">
      <c r="A211" t="str">
        <f t="shared" si="3"/>
        <v>BogaJuventus</v>
      </c>
      <c r="B211">
        <v>2832</v>
      </c>
      <c r="C211" t="s">
        <v>478</v>
      </c>
      <c r="D211" t="s">
        <v>534</v>
      </c>
      <c r="E211" t="s">
        <v>14</v>
      </c>
      <c r="F211">
        <v>6</v>
      </c>
      <c r="G211">
        <v>6</v>
      </c>
      <c r="H211">
        <v>0</v>
      </c>
      <c r="I211">
        <v>21</v>
      </c>
      <c r="J211">
        <f>VLOOKUP(B211,'Quotazioni calciatori'!N:N,1,FALSE)</f>
        <v>2832</v>
      </c>
    </row>
    <row r="212" spans="1:10" x14ac:dyDescent="0.35">
      <c r="A212" t="str">
        <f t="shared" si="3"/>
        <v>BremerJuventus</v>
      </c>
      <c r="B212">
        <v>2788</v>
      </c>
      <c r="C212" t="s">
        <v>92</v>
      </c>
      <c r="D212" t="s">
        <v>95</v>
      </c>
      <c r="E212" t="s">
        <v>14</v>
      </c>
      <c r="F212">
        <v>17</v>
      </c>
      <c r="G212">
        <v>15</v>
      </c>
      <c r="H212">
        <v>2</v>
      </c>
      <c r="I212">
        <v>80</v>
      </c>
      <c r="J212">
        <f>VLOOKUP(B212,'Quotazioni calciatori'!N:N,1,FALSE)</f>
        <v>2788</v>
      </c>
    </row>
    <row r="213" spans="1:10" x14ac:dyDescent="0.35">
      <c r="A213" t="str">
        <f t="shared" si="3"/>
        <v>CabalJuventus</v>
      </c>
      <c r="B213">
        <v>6039</v>
      </c>
      <c r="C213" t="s">
        <v>92</v>
      </c>
      <c r="D213" t="s">
        <v>261</v>
      </c>
      <c r="E213" t="s">
        <v>14</v>
      </c>
      <c r="F213">
        <v>1</v>
      </c>
      <c r="G213">
        <v>1</v>
      </c>
      <c r="H213">
        <v>0</v>
      </c>
      <c r="I213">
        <v>4</v>
      </c>
      <c r="J213">
        <f>VLOOKUP(B213,'Quotazioni calciatori'!N:N,1,FALSE)</f>
        <v>6039</v>
      </c>
    </row>
    <row r="214" spans="1:10" x14ac:dyDescent="0.35">
      <c r="A214" t="str">
        <f t="shared" si="3"/>
        <v>CambiasoJuventus</v>
      </c>
      <c r="B214">
        <v>5520</v>
      </c>
      <c r="C214" t="s">
        <v>92</v>
      </c>
      <c r="D214" t="s">
        <v>150</v>
      </c>
      <c r="E214" t="s">
        <v>14</v>
      </c>
      <c r="F214">
        <v>7</v>
      </c>
      <c r="G214">
        <v>9</v>
      </c>
      <c r="H214">
        <v>-2</v>
      </c>
      <c r="I214">
        <v>10</v>
      </c>
      <c r="J214">
        <f>VLOOKUP(B214,'Quotazioni calciatori'!N:N,1,FALSE)</f>
        <v>5520</v>
      </c>
    </row>
    <row r="215" spans="1:10" x14ac:dyDescent="0.35">
      <c r="A215" t="str">
        <f t="shared" si="3"/>
        <v>CelikJuventus</v>
      </c>
      <c r="B215">
        <v>4657</v>
      </c>
      <c r="C215" t="s">
        <v>92</v>
      </c>
      <c r="D215" t="s">
        <v>135</v>
      </c>
      <c r="E215" t="s">
        <v>14</v>
      </c>
      <c r="F215">
        <v>8</v>
      </c>
      <c r="G215">
        <v>8</v>
      </c>
      <c r="H215">
        <v>0</v>
      </c>
      <c r="I215">
        <v>18</v>
      </c>
      <c r="J215">
        <f>VLOOKUP(B215,'Quotazioni calciatori'!N:N,1,FALSE)</f>
        <v>4657</v>
      </c>
    </row>
    <row r="216" spans="1:10" x14ac:dyDescent="0.35">
      <c r="A216" t="str">
        <f t="shared" si="3"/>
        <v>ConceicaoJuventus</v>
      </c>
      <c r="B216">
        <v>6884</v>
      </c>
      <c r="C216" t="s">
        <v>283</v>
      </c>
      <c r="D216" t="s">
        <v>301</v>
      </c>
      <c r="E216" t="s">
        <v>14</v>
      </c>
      <c r="F216">
        <v>14</v>
      </c>
      <c r="G216">
        <v>12</v>
      </c>
      <c r="H216">
        <v>2</v>
      </c>
      <c r="I216">
        <v>70</v>
      </c>
      <c r="J216">
        <f>VLOOKUP(B216,'Quotazioni calciatori'!N:N,1,FALSE)</f>
        <v>6884</v>
      </c>
    </row>
    <row r="217" spans="1:10" x14ac:dyDescent="0.35">
      <c r="A217" t="str">
        <f t="shared" si="3"/>
        <v>Douglas LuizJuventus</v>
      </c>
      <c r="B217">
        <v>4911</v>
      </c>
      <c r="C217" t="s">
        <v>283</v>
      </c>
      <c r="D217" t="s">
        <v>419</v>
      </c>
      <c r="E217" t="s">
        <v>14</v>
      </c>
      <c r="F217">
        <v>4</v>
      </c>
      <c r="G217">
        <v>4</v>
      </c>
      <c r="H217">
        <v>0</v>
      </c>
      <c r="I217">
        <v>16</v>
      </c>
      <c r="J217">
        <f>VLOOKUP(B217,'Quotazioni calciatori'!N:N,1,FALSE)</f>
        <v>4911</v>
      </c>
    </row>
    <row r="218" spans="1:10" x14ac:dyDescent="0.35">
      <c r="A218" t="str">
        <f t="shared" si="3"/>
        <v>EkhatorJuventus</v>
      </c>
      <c r="B218">
        <v>6822</v>
      </c>
      <c r="C218" t="s">
        <v>478</v>
      </c>
      <c r="D218" t="s">
        <v>557</v>
      </c>
      <c r="E218" t="s">
        <v>14</v>
      </c>
      <c r="F218">
        <v>2</v>
      </c>
      <c r="G218">
        <v>3</v>
      </c>
      <c r="H218">
        <v>-1</v>
      </c>
      <c r="I218">
        <v>6</v>
      </c>
      <c r="J218">
        <f>VLOOKUP(B218,'Quotazioni calciatori'!N:N,1,FALSE)</f>
        <v>6822</v>
      </c>
    </row>
    <row r="219" spans="1:10" x14ac:dyDescent="0.35">
      <c r="A219" t="str">
        <f t="shared" si="3"/>
        <v>GattiJuventus</v>
      </c>
      <c r="B219">
        <v>5831</v>
      </c>
      <c r="C219" t="s">
        <v>92</v>
      </c>
      <c r="D219" t="s">
        <v>187</v>
      </c>
      <c r="E219" t="s">
        <v>14</v>
      </c>
      <c r="F219">
        <v>5</v>
      </c>
      <c r="G219">
        <v>4</v>
      </c>
      <c r="H219">
        <v>1</v>
      </c>
      <c r="I219">
        <v>11</v>
      </c>
      <c r="J219">
        <f>VLOOKUP(B219,'Quotazioni calciatori'!N:N,1,FALSE)</f>
        <v>5831</v>
      </c>
    </row>
    <row r="220" spans="1:10" x14ac:dyDescent="0.35">
      <c r="A220" t="str">
        <f t="shared" si="3"/>
        <v>Gonzalez N.Juventus</v>
      </c>
      <c r="B220">
        <v>4179</v>
      </c>
      <c r="C220" t="s">
        <v>283</v>
      </c>
      <c r="D220" t="s">
        <v>309</v>
      </c>
      <c r="E220" t="s">
        <v>14</v>
      </c>
      <c r="F220">
        <v>13</v>
      </c>
      <c r="G220">
        <v>11</v>
      </c>
      <c r="H220">
        <v>2</v>
      </c>
      <c r="I220">
        <v>46</v>
      </c>
      <c r="J220">
        <f>VLOOKUP(B220,'Quotazioni calciatori'!N:N,1,FALSE)</f>
        <v>4179</v>
      </c>
    </row>
    <row r="221" spans="1:10" x14ac:dyDescent="0.35">
      <c r="A221" t="str">
        <f t="shared" si="3"/>
        <v>GrabaraJuventus</v>
      </c>
      <c r="B221">
        <v>7603</v>
      </c>
      <c r="C221" t="s">
        <v>8</v>
      </c>
      <c r="D221" t="s">
        <v>88</v>
      </c>
      <c r="E221" t="s">
        <v>14</v>
      </c>
      <c r="F221">
        <v>1</v>
      </c>
      <c r="G221">
        <v>1</v>
      </c>
      <c r="H221">
        <v>0</v>
      </c>
      <c r="I221">
        <v>1</v>
      </c>
      <c r="J221">
        <f>VLOOKUP(B221,'Quotazioni calciatori'!N:N,1,FALSE)</f>
        <v>7603</v>
      </c>
    </row>
    <row r="222" spans="1:10" x14ac:dyDescent="0.35">
      <c r="A222" t="str">
        <f t="shared" si="3"/>
        <v>KaluluJuventus</v>
      </c>
      <c r="B222">
        <v>4976</v>
      </c>
      <c r="C222" t="s">
        <v>92</v>
      </c>
      <c r="D222" t="s">
        <v>102</v>
      </c>
      <c r="E222" t="s">
        <v>14</v>
      </c>
      <c r="F222">
        <v>13</v>
      </c>
      <c r="G222">
        <v>13</v>
      </c>
      <c r="H222">
        <v>0</v>
      </c>
      <c r="I222">
        <v>41</v>
      </c>
      <c r="J222">
        <f>VLOOKUP(B222,'Quotazioni calciatori'!N:N,1,FALSE)</f>
        <v>4976</v>
      </c>
    </row>
    <row r="223" spans="1:10" x14ac:dyDescent="0.35">
      <c r="A223" t="str">
        <f t="shared" si="3"/>
        <v>Kelly L.Juventus</v>
      </c>
      <c r="B223">
        <v>6766</v>
      </c>
      <c r="C223" t="s">
        <v>92</v>
      </c>
      <c r="D223" t="s">
        <v>204</v>
      </c>
      <c r="E223" t="s">
        <v>14</v>
      </c>
      <c r="F223">
        <v>4</v>
      </c>
      <c r="G223">
        <v>5</v>
      </c>
      <c r="H223">
        <v>-1</v>
      </c>
      <c r="I223">
        <v>12</v>
      </c>
      <c r="J223">
        <f>VLOOKUP(B223,'Quotazioni calciatori'!N:N,1,FALSE)</f>
        <v>6766</v>
      </c>
    </row>
    <row r="224" spans="1:10" x14ac:dyDescent="0.35">
      <c r="A224" t="str">
        <f t="shared" si="3"/>
        <v>Kolo MuaniJuventus</v>
      </c>
      <c r="B224">
        <v>5951</v>
      </c>
      <c r="C224" t="s">
        <v>478</v>
      </c>
      <c r="D224" t="s">
        <v>485</v>
      </c>
      <c r="E224" t="s">
        <v>14</v>
      </c>
      <c r="F224">
        <v>23</v>
      </c>
      <c r="G224">
        <v>26</v>
      </c>
      <c r="H224">
        <v>-3</v>
      </c>
      <c r="I224">
        <v>122</v>
      </c>
      <c r="J224">
        <f>VLOOKUP(B224,'Quotazioni calciatori'!N:N,1,FALSE)</f>
        <v>5951</v>
      </c>
    </row>
    <row r="225" spans="1:10" x14ac:dyDescent="0.35">
      <c r="A225" t="str">
        <f t="shared" si="3"/>
        <v>KoopmeinersJuventus</v>
      </c>
      <c r="B225">
        <v>5685</v>
      </c>
      <c r="C225" t="s">
        <v>283</v>
      </c>
      <c r="D225" t="s">
        <v>353</v>
      </c>
      <c r="E225" t="s">
        <v>14</v>
      </c>
      <c r="F225">
        <v>8</v>
      </c>
      <c r="G225">
        <v>5</v>
      </c>
      <c r="H225">
        <v>3</v>
      </c>
      <c r="I225">
        <v>18</v>
      </c>
      <c r="J225">
        <f>VLOOKUP(B225,'Quotazioni calciatori'!N:N,1,FALSE)</f>
        <v>5685</v>
      </c>
    </row>
    <row r="226" spans="1:10" x14ac:dyDescent="0.35">
      <c r="A226" t="str">
        <f t="shared" si="3"/>
        <v>LocatelliJuventus</v>
      </c>
      <c r="B226">
        <v>827</v>
      </c>
      <c r="C226" t="s">
        <v>283</v>
      </c>
      <c r="D226" t="s">
        <v>351</v>
      </c>
      <c r="E226" t="s">
        <v>14</v>
      </c>
      <c r="F226">
        <v>8</v>
      </c>
      <c r="G226">
        <v>8</v>
      </c>
      <c r="H226">
        <v>0</v>
      </c>
      <c r="I226">
        <v>15</v>
      </c>
      <c r="J226">
        <f>VLOOKUP(B226,'Quotazioni calciatori'!N:N,1,FALSE)</f>
        <v>827</v>
      </c>
    </row>
    <row r="227" spans="1:10" x14ac:dyDescent="0.35">
      <c r="A227" t="str">
        <f t="shared" si="3"/>
        <v>LucumìJuventus</v>
      </c>
      <c r="B227">
        <v>6042</v>
      </c>
      <c r="C227" t="s">
        <v>92</v>
      </c>
      <c r="D227" t="s">
        <v>128</v>
      </c>
      <c r="E227" t="s">
        <v>14</v>
      </c>
      <c r="F227">
        <v>8</v>
      </c>
      <c r="G227">
        <v>8</v>
      </c>
      <c r="H227">
        <v>0</v>
      </c>
      <c r="I227">
        <v>18</v>
      </c>
      <c r="J227">
        <f>VLOOKUP(B227,'Quotazioni calciatori'!N:N,1,FALSE)</f>
        <v>6042</v>
      </c>
    </row>
    <row r="228" spans="1:10" x14ac:dyDescent="0.35">
      <c r="A228" t="str">
        <f t="shared" si="3"/>
        <v>McKennieJuventus</v>
      </c>
      <c r="B228">
        <v>4973</v>
      </c>
      <c r="C228" t="s">
        <v>283</v>
      </c>
      <c r="D228" t="s">
        <v>297</v>
      </c>
      <c r="E228" t="s">
        <v>14</v>
      </c>
      <c r="F228">
        <v>15</v>
      </c>
      <c r="G228">
        <v>17</v>
      </c>
      <c r="H228">
        <v>-2</v>
      </c>
      <c r="I228">
        <v>61</v>
      </c>
      <c r="J228">
        <f>VLOOKUP(B228,'Quotazioni calciatori'!N:N,1,FALSE)</f>
        <v>4973</v>
      </c>
    </row>
    <row r="229" spans="1:10" x14ac:dyDescent="0.35">
      <c r="A229" t="str">
        <f t="shared" si="3"/>
        <v>MilikJuventus</v>
      </c>
      <c r="B229">
        <v>2012</v>
      </c>
      <c r="C229" t="s">
        <v>478</v>
      </c>
      <c r="D229" t="s">
        <v>550</v>
      </c>
      <c r="E229" t="s">
        <v>14</v>
      </c>
      <c r="F229">
        <v>4</v>
      </c>
      <c r="G229">
        <v>5</v>
      </c>
      <c r="H229">
        <v>-1</v>
      </c>
      <c r="I229">
        <v>1</v>
      </c>
      <c r="J229">
        <f>VLOOKUP(B229,'Quotazioni calciatori'!N:N,1,FALSE)</f>
        <v>2012</v>
      </c>
    </row>
    <row r="230" spans="1:10" x14ac:dyDescent="0.35">
      <c r="A230" t="str">
        <f t="shared" si="3"/>
        <v>PinsoglioJuventus</v>
      </c>
      <c r="B230">
        <v>1930</v>
      </c>
      <c r="C230" t="s">
        <v>8</v>
      </c>
      <c r="D230" t="s">
        <v>66</v>
      </c>
      <c r="E230" t="s">
        <v>14</v>
      </c>
      <c r="F230">
        <v>1</v>
      </c>
      <c r="G230">
        <v>1</v>
      </c>
      <c r="H230">
        <v>0</v>
      </c>
      <c r="I230">
        <v>1</v>
      </c>
      <c r="J230">
        <f>VLOOKUP(B230,'Quotazioni calciatori'!N:N,1,FALSE)</f>
        <v>1930</v>
      </c>
    </row>
    <row r="231" spans="1:10" x14ac:dyDescent="0.35">
      <c r="A231" t="str">
        <f t="shared" si="3"/>
        <v>RuganiJuventus</v>
      </c>
      <c r="B231">
        <v>294</v>
      </c>
      <c r="C231" t="s">
        <v>92</v>
      </c>
      <c r="D231" t="s">
        <v>260</v>
      </c>
      <c r="E231" t="s">
        <v>14</v>
      </c>
      <c r="F231">
        <v>1</v>
      </c>
      <c r="G231">
        <v>1</v>
      </c>
      <c r="H231">
        <v>0</v>
      </c>
      <c r="I231">
        <v>3</v>
      </c>
      <c r="J231">
        <f>VLOOKUP(B231,'Quotazioni calciatori'!N:N,1,FALSE)</f>
        <v>294</v>
      </c>
    </row>
    <row r="232" spans="1:10" x14ac:dyDescent="0.35">
      <c r="A232" t="str">
        <f t="shared" si="3"/>
        <v>Sarr P.Juventus</v>
      </c>
      <c r="B232">
        <v>5680</v>
      </c>
      <c r="C232" t="s">
        <v>283</v>
      </c>
      <c r="D232" t="s">
        <v>374</v>
      </c>
      <c r="E232" t="s">
        <v>14</v>
      </c>
      <c r="F232">
        <v>7</v>
      </c>
      <c r="G232">
        <v>7</v>
      </c>
      <c r="H232">
        <v>0</v>
      </c>
      <c r="I232">
        <v>23</v>
      </c>
      <c r="J232">
        <f>VLOOKUP(B232,'Quotazioni calciatori'!N:N,1,FALSE)</f>
        <v>5680</v>
      </c>
    </row>
    <row r="233" spans="1:10" x14ac:dyDescent="0.35">
      <c r="A233" t="str">
        <f t="shared" si="3"/>
        <v>Thuram K.Juventus</v>
      </c>
      <c r="B233">
        <v>5562</v>
      </c>
      <c r="C233" t="s">
        <v>283</v>
      </c>
      <c r="D233" t="s">
        <v>352</v>
      </c>
      <c r="E233" t="s">
        <v>14</v>
      </c>
      <c r="F233">
        <v>8</v>
      </c>
      <c r="G233">
        <v>10</v>
      </c>
      <c r="H233">
        <v>-2</v>
      </c>
      <c r="I233">
        <v>15</v>
      </c>
      <c r="J233">
        <f>VLOOKUP(B233,'Quotazioni calciatori'!N:N,1,FALSE)</f>
        <v>5562</v>
      </c>
    </row>
    <row r="234" spans="1:10" x14ac:dyDescent="0.35">
      <c r="A234" t="str">
        <f t="shared" si="3"/>
        <v>VicarioJuventus</v>
      </c>
      <c r="B234">
        <v>4964</v>
      </c>
      <c r="C234" t="s">
        <v>8</v>
      </c>
      <c r="D234" t="s">
        <v>13</v>
      </c>
      <c r="E234" t="s">
        <v>14</v>
      </c>
      <c r="F234">
        <v>16</v>
      </c>
      <c r="G234">
        <v>16</v>
      </c>
      <c r="H234">
        <v>0</v>
      </c>
      <c r="I234">
        <v>65</v>
      </c>
      <c r="J234">
        <f>VLOOKUP(B234,'Quotazioni calciatori'!N:N,1,FALSE)</f>
        <v>4964</v>
      </c>
    </row>
    <row r="235" spans="1:10" x14ac:dyDescent="0.35">
      <c r="A235" t="str">
        <f t="shared" si="3"/>
        <v>WoltemadeJuventus</v>
      </c>
      <c r="B235">
        <v>6752</v>
      </c>
      <c r="C235" t="s">
        <v>478</v>
      </c>
      <c r="D235" t="s">
        <v>487</v>
      </c>
      <c r="E235" t="s">
        <v>14</v>
      </c>
      <c r="F235">
        <v>22</v>
      </c>
      <c r="G235">
        <v>23</v>
      </c>
      <c r="H235">
        <v>-1</v>
      </c>
      <c r="I235">
        <v>97</v>
      </c>
      <c r="J235">
        <f>VLOOKUP(B235,'Quotazioni calciatori'!N:N,1,FALSE)</f>
        <v>6752</v>
      </c>
    </row>
    <row r="236" spans="1:10" x14ac:dyDescent="0.35">
      <c r="A236" t="str">
        <f t="shared" si="3"/>
        <v>YildizJuventus</v>
      </c>
      <c r="B236">
        <v>6434</v>
      </c>
      <c r="C236" t="s">
        <v>478</v>
      </c>
      <c r="D236" t="s">
        <v>488</v>
      </c>
      <c r="E236" t="s">
        <v>14</v>
      </c>
      <c r="F236">
        <v>20</v>
      </c>
      <c r="G236">
        <v>23</v>
      </c>
      <c r="H236">
        <v>-3</v>
      </c>
      <c r="I236">
        <v>70</v>
      </c>
      <c r="J236">
        <f>VLOOKUP(B236,'Quotazioni calciatori'!N:N,1,FALSE)</f>
        <v>6434</v>
      </c>
    </row>
    <row r="237" spans="1:10" x14ac:dyDescent="0.35">
      <c r="A237" t="str">
        <f t="shared" si="3"/>
        <v>ZhegrovaJuventus</v>
      </c>
      <c r="B237">
        <v>5761</v>
      </c>
      <c r="C237" t="s">
        <v>283</v>
      </c>
      <c r="D237" t="s">
        <v>332</v>
      </c>
      <c r="E237" t="s">
        <v>14</v>
      </c>
      <c r="F237">
        <v>10</v>
      </c>
      <c r="G237">
        <v>6</v>
      </c>
      <c r="H237">
        <v>4</v>
      </c>
      <c r="I237">
        <v>22</v>
      </c>
      <c r="J237">
        <f>VLOOKUP(B237,'Quotazioni calciatori'!N:N,1,FALSE)</f>
        <v>5761</v>
      </c>
    </row>
    <row r="238" spans="1:10" x14ac:dyDescent="0.35">
      <c r="A238" t="str">
        <f t="shared" si="3"/>
        <v>BelahyaneLazio</v>
      </c>
      <c r="B238">
        <v>6191</v>
      </c>
      <c r="C238" t="s">
        <v>283</v>
      </c>
      <c r="D238" t="s">
        <v>402</v>
      </c>
      <c r="E238" t="s">
        <v>24</v>
      </c>
      <c r="F238">
        <v>5</v>
      </c>
      <c r="G238">
        <v>1</v>
      </c>
      <c r="H238">
        <v>4</v>
      </c>
      <c r="I238">
        <v>3</v>
      </c>
      <c r="J238">
        <f>VLOOKUP(B238,'Quotazioni calciatori'!N:N,1,FALSE)</f>
        <v>6191</v>
      </c>
    </row>
    <row r="239" spans="1:10" x14ac:dyDescent="0.35">
      <c r="A239" t="str">
        <f t="shared" si="3"/>
        <v>CancellieriLazio</v>
      </c>
      <c r="B239">
        <v>5500</v>
      </c>
      <c r="C239" t="s">
        <v>283</v>
      </c>
      <c r="D239" t="s">
        <v>320</v>
      </c>
      <c r="E239" t="s">
        <v>24</v>
      </c>
      <c r="F239">
        <v>11</v>
      </c>
      <c r="G239">
        <v>9</v>
      </c>
      <c r="H239">
        <v>2</v>
      </c>
      <c r="I239">
        <v>22</v>
      </c>
      <c r="J239">
        <f>VLOOKUP(B239,'Quotazioni calciatori'!N:N,1,FALSE)</f>
        <v>5500</v>
      </c>
    </row>
    <row r="240" spans="1:10" x14ac:dyDescent="0.35">
      <c r="A240" t="str">
        <f t="shared" si="3"/>
        <v>CataldiLazio</v>
      </c>
      <c r="B240">
        <v>333</v>
      </c>
      <c r="C240" t="s">
        <v>283</v>
      </c>
      <c r="D240" t="s">
        <v>437</v>
      </c>
      <c r="E240" t="s">
        <v>24</v>
      </c>
      <c r="F240">
        <v>3</v>
      </c>
      <c r="G240">
        <v>4</v>
      </c>
      <c r="H240">
        <v>-1</v>
      </c>
      <c r="I240">
        <v>8</v>
      </c>
      <c r="J240">
        <f>VLOOKUP(B240,'Quotazioni calciatori'!N:N,1,FALSE)</f>
        <v>333</v>
      </c>
    </row>
    <row r="241" spans="1:10" x14ac:dyDescent="0.35">
      <c r="A241" t="str">
        <f t="shared" si="3"/>
        <v>Dele-BashiruLazio</v>
      </c>
      <c r="B241">
        <v>6629</v>
      </c>
      <c r="C241" t="s">
        <v>283</v>
      </c>
      <c r="D241" t="s">
        <v>420</v>
      </c>
      <c r="E241" t="s">
        <v>24</v>
      </c>
      <c r="F241">
        <v>4</v>
      </c>
      <c r="G241">
        <v>5</v>
      </c>
      <c r="H241">
        <v>-1</v>
      </c>
      <c r="I241">
        <v>7</v>
      </c>
      <c r="J241">
        <f>VLOOKUP(B241,'Quotazioni calciatori'!N:N,1,FALSE)</f>
        <v>6629</v>
      </c>
    </row>
    <row r="242" spans="1:10" x14ac:dyDescent="0.35">
      <c r="A242" t="str">
        <f t="shared" si="3"/>
        <v>DoekhiLazio</v>
      </c>
      <c r="B242">
        <v>6320</v>
      </c>
      <c r="C242" t="s">
        <v>92</v>
      </c>
      <c r="D242" t="s">
        <v>136</v>
      </c>
      <c r="E242" t="s">
        <v>24</v>
      </c>
      <c r="F242">
        <v>8</v>
      </c>
      <c r="G242">
        <v>7</v>
      </c>
      <c r="H242">
        <v>1</v>
      </c>
      <c r="I242">
        <v>13</v>
      </c>
      <c r="J242">
        <f>VLOOKUP(B242,'Quotazioni calciatori'!N:N,1,FALSE)</f>
        <v>6320</v>
      </c>
    </row>
    <row r="243" spans="1:10" x14ac:dyDescent="0.35">
      <c r="A243" t="str">
        <f t="shared" si="3"/>
        <v>Floriani MussoliniLazio</v>
      </c>
      <c r="B243">
        <v>7131</v>
      </c>
      <c r="C243" t="s">
        <v>92</v>
      </c>
      <c r="D243" t="s">
        <v>228</v>
      </c>
      <c r="E243" t="s">
        <v>24</v>
      </c>
      <c r="F243">
        <v>3</v>
      </c>
      <c r="G243">
        <v>3</v>
      </c>
      <c r="H243">
        <v>0</v>
      </c>
      <c r="I243">
        <v>11</v>
      </c>
      <c r="J243">
        <f>VLOOKUP(B243,'Quotazioni calciatori'!N:N,1,FALSE)</f>
        <v>7131</v>
      </c>
    </row>
    <row r="244" spans="1:10" x14ac:dyDescent="0.35">
      <c r="A244" t="str">
        <f t="shared" si="3"/>
        <v>FrattesiLazio</v>
      </c>
      <c r="B244">
        <v>2848</v>
      </c>
      <c r="C244" t="s">
        <v>283</v>
      </c>
      <c r="D244" t="s">
        <v>312</v>
      </c>
      <c r="E244" t="s">
        <v>24</v>
      </c>
      <c r="F244">
        <v>12</v>
      </c>
      <c r="G244">
        <v>7</v>
      </c>
      <c r="H244">
        <v>5</v>
      </c>
      <c r="I244">
        <v>113</v>
      </c>
      <c r="J244">
        <f>VLOOKUP(B244,'Quotazioni calciatori'!N:N,1,FALSE)</f>
        <v>2848</v>
      </c>
    </row>
    <row r="245" spans="1:10" x14ac:dyDescent="0.35">
      <c r="A245" t="str">
        <f t="shared" si="3"/>
        <v>Gudmundsson A.Lazio</v>
      </c>
      <c r="B245">
        <v>5800</v>
      </c>
      <c r="C245" t="s">
        <v>283</v>
      </c>
      <c r="D245" t="s">
        <v>306</v>
      </c>
      <c r="E245" t="s">
        <v>24</v>
      </c>
      <c r="F245">
        <v>13</v>
      </c>
      <c r="G245">
        <v>13</v>
      </c>
      <c r="H245">
        <v>0</v>
      </c>
      <c r="I245">
        <v>38</v>
      </c>
      <c r="J245">
        <f>VLOOKUP(B245,'Quotazioni calciatori'!N:N,1,FALSE)</f>
        <v>5800</v>
      </c>
    </row>
    <row r="246" spans="1:10" x14ac:dyDescent="0.35">
      <c r="A246" t="str">
        <f t="shared" si="3"/>
        <v>IsaksenLazio</v>
      </c>
      <c r="B246">
        <v>6398</v>
      </c>
      <c r="C246" t="s">
        <v>283</v>
      </c>
      <c r="D246" t="s">
        <v>354</v>
      </c>
      <c r="E246" t="s">
        <v>24</v>
      </c>
      <c r="F246">
        <v>8</v>
      </c>
      <c r="G246">
        <v>9</v>
      </c>
      <c r="H246">
        <v>-1</v>
      </c>
      <c r="I246">
        <v>21</v>
      </c>
      <c r="J246">
        <f>VLOOKUP(B246,'Quotazioni calciatori'!N:N,1,FALSE)</f>
        <v>6398</v>
      </c>
    </row>
    <row r="247" spans="1:10" x14ac:dyDescent="0.35">
      <c r="A247" t="str">
        <f t="shared" si="3"/>
        <v>LazzariLazio</v>
      </c>
      <c r="B247">
        <v>2263</v>
      </c>
      <c r="C247" t="s">
        <v>92</v>
      </c>
      <c r="D247" t="s">
        <v>263</v>
      </c>
      <c r="E247" t="s">
        <v>24</v>
      </c>
      <c r="F247">
        <v>1</v>
      </c>
      <c r="G247">
        <v>2</v>
      </c>
      <c r="H247">
        <v>-1</v>
      </c>
      <c r="I247">
        <v>5</v>
      </c>
      <c r="J247">
        <f>VLOOKUP(B247,'Quotazioni calciatori'!N:N,1,FALSE)</f>
        <v>2263</v>
      </c>
    </row>
    <row r="248" spans="1:10" x14ac:dyDescent="0.35">
      <c r="A248" t="str">
        <f t="shared" si="3"/>
        <v>LeiteLazio</v>
      </c>
      <c r="B248">
        <v>6319</v>
      </c>
      <c r="C248" t="s">
        <v>92</v>
      </c>
      <c r="D248" t="s">
        <v>176</v>
      </c>
      <c r="E248" t="s">
        <v>24</v>
      </c>
      <c r="F248">
        <v>6</v>
      </c>
      <c r="G248">
        <v>6</v>
      </c>
      <c r="H248">
        <v>0</v>
      </c>
      <c r="I248">
        <v>11</v>
      </c>
      <c r="J248" t="e">
        <f>VLOOKUP(B248,'Quotazioni calciatori'!N:N,1,FALSE)</f>
        <v>#N/A</v>
      </c>
    </row>
    <row r="249" spans="1:10" x14ac:dyDescent="0.35">
      <c r="A249" t="str">
        <f t="shared" si="3"/>
        <v>MandasLazio</v>
      </c>
      <c r="B249">
        <v>6482</v>
      </c>
      <c r="C249" t="s">
        <v>8</v>
      </c>
      <c r="D249" t="s">
        <v>23</v>
      </c>
      <c r="E249" t="s">
        <v>24</v>
      </c>
      <c r="F249">
        <v>13</v>
      </c>
      <c r="G249">
        <v>9</v>
      </c>
      <c r="H249">
        <v>4</v>
      </c>
      <c r="I249">
        <v>41</v>
      </c>
      <c r="J249">
        <f>VLOOKUP(B249,'Quotazioni calciatori'!N:N,1,FALSE)</f>
        <v>6482</v>
      </c>
    </row>
    <row r="250" spans="1:10" x14ac:dyDescent="0.35">
      <c r="A250" t="str">
        <f t="shared" si="3"/>
        <v>MarusicLazio</v>
      </c>
      <c r="B250">
        <v>2188</v>
      </c>
      <c r="C250" t="s">
        <v>92</v>
      </c>
      <c r="D250" t="s">
        <v>190</v>
      </c>
      <c r="E250" t="s">
        <v>24</v>
      </c>
      <c r="F250">
        <v>5</v>
      </c>
      <c r="G250">
        <v>6</v>
      </c>
      <c r="H250">
        <v>-1</v>
      </c>
      <c r="I250">
        <v>16</v>
      </c>
      <c r="J250">
        <f>VLOOKUP(B250,'Quotazioni calciatori'!N:N,1,FALSE)</f>
        <v>2188</v>
      </c>
    </row>
    <row r="251" spans="1:10" x14ac:dyDescent="0.35">
      <c r="A251" t="str">
        <f t="shared" si="3"/>
        <v>MottaLazio</v>
      </c>
      <c r="B251">
        <v>7337</v>
      </c>
      <c r="C251" t="s">
        <v>8</v>
      </c>
      <c r="D251" t="s">
        <v>67</v>
      </c>
      <c r="E251" t="s">
        <v>24</v>
      </c>
      <c r="F251">
        <v>1</v>
      </c>
      <c r="G251">
        <v>1</v>
      </c>
      <c r="H251">
        <v>0</v>
      </c>
      <c r="I251">
        <v>1</v>
      </c>
      <c r="J251">
        <f>VLOOKUP(B251,'Quotazioni calciatori'!N:N,1,FALSE)</f>
        <v>7337</v>
      </c>
    </row>
    <row r="252" spans="1:10" x14ac:dyDescent="0.35">
      <c r="A252" t="str">
        <f t="shared" si="3"/>
        <v>NoslinLazio</v>
      </c>
      <c r="B252">
        <v>6556</v>
      </c>
      <c r="C252" t="s">
        <v>478</v>
      </c>
      <c r="D252" t="s">
        <v>516</v>
      </c>
      <c r="E252" t="s">
        <v>24</v>
      </c>
      <c r="F252">
        <v>10</v>
      </c>
      <c r="G252">
        <v>6</v>
      </c>
      <c r="H252">
        <v>4</v>
      </c>
      <c r="I252">
        <v>35</v>
      </c>
      <c r="J252">
        <f>VLOOKUP(B252,'Quotazioni calciatori'!N:N,1,FALSE)</f>
        <v>6556</v>
      </c>
    </row>
    <row r="253" spans="1:10" x14ac:dyDescent="0.35">
      <c r="A253" t="str">
        <f t="shared" si="3"/>
        <v>PatricLazio</v>
      </c>
      <c r="B253">
        <v>327</v>
      </c>
      <c r="C253" t="s">
        <v>92</v>
      </c>
      <c r="D253" t="s">
        <v>262</v>
      </c>
      <c r="E253" t="s">
        <v>24</v>
      </c>
      <c r="F253">
        <v>1</v>
      </c>
      <c r="G253">
        <v>1</v>
      </c>
      <c r="H253">
        <v>0</v>
      </c>
      <c r="I253">
        <v>1</v>
      </c>
      <c r="J253">
        <f>VLOOKUP(B253,'Quotazioni calciatori'!N:N,1,FALSE)</f>
        <v>327</v>
      </c>
    </row>
    <row r="254" spans="1:10" x14ac:dyDescent="0.35">
      <c r="A254" t="str">
        <f t="shared" si="3"/>
        <v>PedrazaLazio</v>
      </c>
      <c r="B254">
        <v>4817</v>
      </c>
      <c r="C254" t="s">
        <v>92</v>
      </c>
      <c r="D254" t="s">
        <v>189</v>
      </c>
      <c r="E254" t="s">
        <v>24</v>
      </c>
      <c r="F254">
        <v>5</v>
      </c>
      <c r="G254">
        <v>5</v>
      </c>
      <c r="H254">
        <v>0</v>
      </c>
      <c r="I254">
        <v>11</v>
      </c>
      <c r="J254">
        <f>VLOOKUP(B254,'Quotazioni calciatori'!N:N,1,FALSE)</f>
        <v>4817</v>
      </c>
    </row>
    <row r="255" spans="1:10" x14ac:dyDescent="0.35">
      <c r="A255" t="str">
        <f t="shared" si="3"/>
        <v>Pellegrini Lu.Lazio</v>
      </c>
      <c r="B255">
        <v>2728</v>
      </c>
      <c r="C255" t="s">
        <v>92</v>
      </c>
      <c r="D255" t="s">
        <v>264</v>
      </c>
      <c r="E255" t="s">
        <v>24</v>
      </c>
      <c r="F255">
        <v>1</v>
      </c>
      <c r="G255">
        <v>2</v>
      </c>
      <c r="H255">
        <v>-1</v>
      </c>
      <c r="I255">
        <v>7</v>
      </c>
      <c r="J255">
        <f>VLOOKUP(B255,'Quotazioni calciatori'!N:N,1,FALSE)</f>
        <v>2728</v>
      </c>
    </row>
    <row r="256" spans="1:10" x14ac:dyDescent="0.35">
      <c r="A256" t="str">
        <f t="shared" si="3"/>
        <v>PinamontiLazio</v>
      </c>
      <c r="B256">
        <v>2038</v>
      </c>
      <c r="C256" t="s">
        <v>478</v>
      </c>
      <c r="D256" t="s">
        <v>518</v>
      </c>
      <c r="E256" t="s">
        <v>24</v>
      </c>
      <c r="F256">
        <v>10</v>
      </c>
      <c r="G256">
        <v>13</v>
      </c>
      <c r="H256">
        <v>-3</v>
      </c>
      <c r="I256">
        <v>40</v>
      </c>
      <c r="J256">
        <f>VLOOKUP(B256,'Quotazioni calciatori'!N:N,1,FALSE)</f>
        <v>2038</v>
      </c>
    </row>
    <row r="257" spans="1:10" x14ac:dyDescent="0.35">
      <c r="A257" t="str">
        <f t="shared" si="3"/>
        <v>ProvstgaardLazio</v>
      </c>
      <c r="B257">
        <v>7012</v>
      </c>
      <c r="C257" t="s">
        <v>92</v>
      </c>
      <c r="D257" t="s">
        <v>188</v>
      </c>
      <c r="E257" t="s">
        <v>24</v>
      </c>
      <c r="F257">
        <v>5</v>
      </c>
      <c r="G257">
        <v>3</v>
      </c>
      <c r="H257">
        <v>2</v>
      </c>
      <c r="I257">
        <v>12</v>
      </c>
      <c r="J257">
        <f>VLOOKUP(B257,'Quotazioni calciatori'!N:N,1,FALSE)</f>
        <v>7012</v>
      </c>
    </row>
    <row r="258" spans="1:10" x14ac:dyDescent="0.35">
      <c r="A258" t="str">
        <f t="shared" ref="A258:A321" si="4">CONCATENATE(D258,E258)</f>
        <v>PrzyborekLazio</v>
      </c>
      <c r="B258">
        <v>7345</v>
      </c>
      <c r="C258" t="s">
        <v>283</v>
      </c>
      <c r="D258" t="s">
        <v>464</v>
      </c>
      <c r="E258" t="s">
        <v>24</v>
      </c>
      <c r="F258">
        <v>1</v>
      </c>
      <c r="G258">
        <v>1</v>
      </c>
      <c r="H258">
        <v>0</v>
      </c>
      <c r="I258">
        <v>5</v>
      </c>
      <c r="J258">
        <f>VLOOKUP(B258,'Quotazioni calciatori'!N:N,1,FALSE)</f>
        <v>7345</v>
      </c>
    </row>
    <row r="259" spans="1:10" x14ac:dyDescent="0.35">
      <c r="A259" t="str">
        <f t="shared" si="4"/>
        <v>RenzettiLazio</v>
      </c>
      <c r="B259">
        <v>7534</v>
      </c>
      <c r="C259" t="s">
        <v>8</v>
      </c>
      <c r="D259" t="s">
        <v>68</v>
      </c>
      <c r="E259" t="s">
        <v>24</v>
      </c>
      <c r="F259">
        <v>1</v>
      </c>
      <c r="G259">
        <v>1</v>
      </c>
      <c r="H259">
        <v>0</v>
      </c>
      <c r="I259">
        <v>1</v>
      </c>
      <c r="J259">
        <f>VLOOKUP(B259,'Quotazioni calciatori'!N:N,1,FALSE)</f>
        <v>7534</v>
      </c>
    </row>
    <row r="260" spans="1:10" x14ac:dyDescent="0.35">
      <c r="A260" t="str">
        <f t="shared" si="4"/>
        <v>RovellaLazio</v>
      </c>
      <c r="B260">
        <v>4459</v>
      </c>
      <c r="C260" t="s">
        <v>283</v>
      </c>
      <c r="D260" t="s">
        <v>381</v>
      </c>
      <c r="E260" t="s">
        <v>24</v>
      </c>
      <c r="F260">
        <v>6</v>
      </c>
      <c r="G260">
        <v>6</v>
      </c>
      <c r="H260">
        <v>0</v>
      </c>
      <c r="I260">
        <v>16</v>
      </c>
      <c r="J260">
        <f>VLOOKUP(B260,'Quotazioni calciatori'!N:N,1,FALSE)</f>
        <v>4459</v>
      </c>
    </row>
    <row r="261" spans="1:10" x14ac:dyDescent="0.35">
      <c r="A261" t="str">
        <f t="shared" si="4"/>
        <v>Sutalo J.Lazio</v>
      </c>
      <c r="B261">
        <v>7580</v>
      </c>
      <c r="C261" t="s">
        <v>92</v>
      </c>
      <c r="D261" t="s">
        <v>158</v>
      </c>
      <c r="E261" t="s">
        <v>24</v>
      </c>
      <c r="F261">
        <v>7</v>
      </c>
      <c r="G261">
        <v>7</v>
      </c>
      <c r="H261">
        <v>0</v>
      </c>
      <c r="I261">
        <v>20</v>
      </c>
      <c r="J261">
        <f>VLOOKUP(B261,'Quotazioni calciatori'!N:N,1,FALSE)</f>
        <v>7580</v>
      </c>
    </row>
    <row r="262" spans="1:10" x14ac:dyDescent="0.35">
      <c r="A262" t="str">
        <f t="shared" si="4"/>
        <v>Tavares N.Lazio</v>
      </c>
      <c r="B262">
        <v>5620</v>
      </c>
      <c r="C262" t="s">
        <v>92</v>
      </c>
      <c r="D262" t="s">
        <v>124</v>
      </c>
      <c r="E262" t="s">
        <v>24</v>
      </c>
      <c r="F262">
        <v>9</v>
      </c>
      <c r="G262">
        <v>6</v>
      </c>
      <c r="H262">
        <v>3</v>
      </c>
      <c r="I262">
        <v>45</v>
      </c>
      <c r="J262">
        <f>VLOOKUP(B262,'Quotazioni calciatori'!N:N,1,FALSE)</f>
        <v>5620</v>
      </c>
    </row>
    <row r="263" spans="1:10" x14ac:dyDescent="0.35">
      <c r="A263" t="str">
        <f t="shared" si="4"/>
        <v>Taylor K.Lazio</v>
      </c>
      <c r="B263">
        <v>7314</v>
      </c>
      <c r="C263" t="s">
        <v>283</v>
      </c>
      <c r="D263" t="s">
        <v>308</v>
      </c>
      <c r="E263" t="s">
        <v>24</v>
      </c>
      <c r="F263">
        <v>13</v>
      </c>
      <c r="G263">
        <v>13</v>
      </c>
      <c r="H263">
        <v>0</v>
      </c>
      <c r="I263">
        <v>43</v>
      </c>
      <c r="J263">
        <f>VLOOKUP(B263,'Quotazioni calciatori'!N:N,1,FALSE)</f>
        <v>7314</v>
      </c>
    </row>
    <row r="264" spans="1:10" x14ac:dyDescent="0.35">
      <c r="A264" t="str">
        <f t="shared" si="4"/>
        <v>ZaccagniLazio</v>
      </c>
      <c r="B264">
        <v>632</v>
      </c>
      <c r="C264" t="s">
        <v>283</v>
      </c>
      <c r="D264" t="s">
        <v>293</v>
      </c>
      <c r="E264" t="s">
        <v>24</v>
      </c>
      <c r="F264">
        <v>18</v>
      </c>
      <c r="G264">
        <v>16</v>
      </c>
      <c r="H264">
        <v>2</v>
      </c>
      <c r="I264">
        <v>122</v>
      </c>
      <c r="J264">
        <f>VLOOKUP(B264,'Quotazioni calciatori'!N:N,1,FALSE)</f>
        <v>632</v>
      </c>
    </row>
    <row r="265" spans="1:10" x14ac:dyDescent="0.35">
      <c r="A265" t="str">
        <f t="shared" si="4"/>
        <v>Berisha M.Lecce</v>
      </c>
      <c r="B265">
        <v>6015</v>
      </c>
      <c r="C265" t="s">
        <v>283</v>
      </c>
      <c r="D265" t="s">
        <v>423</v>
      </c>
      <c r="E265" t="s">
        <v>39</v>
      </c>
      <c r="F265">
        <v>4</v>
      </c>
      <c r="G265">
        <v>5</v>
      </c>
      <c r="H265">
        <v>-1</v>
      </c>
      <c r="I265">
        <v>11</v>
      </c>
      <c r="J265">
        <f>VLOOKUP(B265,'Quotazioni calciatori'!N:N,1,FALSE)</f>
        <v>6015</v>
      </c>
    </row>
    <row r="266" spans="1:10" x14ac:dyDescent="0.35">
      <c r="A266" t="str">
        <f t="shared" si="4"/>
        <v>BleveLecce</v>
      </c>
      <c r="B266">
        <v>4468</v>
      </c>
      <c r="C266" t="s">
        <v>8</v>
      </c>
      <c r="D266" t="s">
        <v>87</v>
      </c>
      <c r="E266" t="s">
        <v>39</v>
      </c>
      <c r="F266">
        <v>1</v>
      </c>
      <c r="G266">
        <v>1</v>
      </c>
      <c r="H266">
        <v>0</v>
      </c>
      <c r="I266">
        <v>1</v>
      </c>
      <c r="J266">
        <f>VLOOKUP(B266,'Quotazioni calciatori'!N:N,1,FALSE)</f>
        <v>4468</v>
      </c>
    </row>
    <row r="267" spans="1:10" x14ac:dyDescent="0.35">
      <c r="A267" t="str">
        <f t="shared" si="4"/>
        <v>Coulibaly L.Lecce</v>
      </c>
      <c r="B267">
        <v>5504</v>
      </c>
      <c r="C267" t="s">
        <v>283</v>
      </c>
      <c r="D267" t="s">
        <v>333</v>
      </c>
      <c r="E267" t="s">
        <v>39</v>
      </c>
      <c r="F267">
        <v>10</v>
      </c>
      <c r="G267">
        <v>6</v>
      </c>
      <c r="H267">
        <v>4</v>
      </c>
      <c r="I267">
        <v>17</v>
      </c>
      <c r="J267">
        <f>VLOOKUP(B267,'Quotazioni calciatori'!N:N,1,FALSE)</f>
        <v>5504</v>
      </c>
    </row>
    <row r="268" spans="1:10" x14ac:dyDescent="0.35">
      <c r="A268" t="str">
        <f t="shared" si="4"/>
        <v>Dembelè A.Lecce</v>
      </c>
      <c r="B268">
        <v>6826</v>
      </c>
      <c r="C268" t="s">
        <v>92</v>
      </c>
      <c r="D268" t="s">
        <v>282</v>
      </c>
      <c r="E268" t="s">
        <v>39</v>
      </c>
      <c r="F268">
        <v>1</v>
      </c>
      <c r="G268">
        <v>1</v>
      </c>
      <c r="H268">
        <v>0</v>
      </c>
      <c r="I268">
        <v>2</v>
      </c>
      <c r="J268" t="e">
        <f>VLOOKUP(B268,'Quotazioni calciatori'!N:N,1,FALSE)</f>
        <v>#N/A</v>
      </c>
    </row>
    <row r="269" spans="1:10" x14ac:dyDescent="0.35">
      <c r="A269" t="str">
        <f t="shared" si="4"/>
        <v>EstebanLecce</v>
      </c>
      <c r="B269">
        <v>7647</v>
      </c>
      <c r="C269" t="s">
        <v>478</v>
      </c>
      <c r="D269" t="s">
        <v>560</v>
      </c>
      <c r="E269" t="s">
        <v>39</v>
      </c>
      <c r="F269">
        <v>2</v>
      </c>
      <c r="G269">
        <v>1</v>
      </c>
      <c r="H269">
        <v>1</v>
      </c>
      <c r="I269">
        <v>3</v>
      </c>
      <c r="J269" t="e">
        <f>VLOOKUP(B269,'Quotazioni calciatori'!N:N,1,FALSE)</f>
        <v>#N/A</v>
      </c>
    </row>
    <row r="270" spans="1:10" x14ac:dyDescent="0.35">
      <c r="A270" t="str">
        <f t="shared" si="4"/>
        <v>FalconeLecce</v>
      </c>
      <c r="B270">
        <v>2134</v>
      </c>
      <c r="C270" t="s">
        <v>8</v>
      </c>
      <c r="D270" t="s">
        <v>38</v>
      </c>
      <c r="E270" t="s">
        <v>39</v>
      </c>
      <c r="F270">
        <v>7</v>
      </c>
      <c r="G270">
        <v>8</v>
      </c>
      <c r="H270">
        <v>-1</v>
      </c>
      <c r="I270">
        <v>23</v>
      </c>
      <c r="J270">
        <f>VLOOKUP(B270,'Quotazioni calciatori'!N:N,1,FALSE)</f>
        <v>2134</v>
      </c>
    </row>
    <row r="271" spans="1:10" x14ac:dyDescent="0.35">
      <c r="A271" t="str">
        <f t="shared" si="4"/>
        <v>FatahLecce</v>
      </c>
      <c r="B271">
        <v>7602</v>
      </c>
      <c r="C271" t="s">
        <v>478</v>
      </c>
      <c r="D271" t="s">
        <v>543</v>
      </c>
      <c r="E271" t="s">
        <v>39</v>
      </c>
      <c r="F271">
        <v>5</v>
      </c>
      <c r="G271">
        <v>4</v>
      </c>
      <c r="H271">
        <v>1</v>
      </c>
      <c r="I271">
        <v>8</v>
      </c>
      <c r="J271">
        <f>VLOOKUP(B271,'Quotazioni calciatori'!N:N,1,FALSE)</f>
        <v>7602</v>
      </c>
    </row>
    <row r="272" spans="1:10" x14ac:dyDescent="0.35">
      <c r="A272" t="str">
        <f t="shared" si="4"/>
        <v>Fofana Sa.Lecce</v>
      </c>
      <c r="B272">
        <v>7319</v>
      </c>
      <c r="C272" t="s">
        <v>283</v>
      </c>
      <c r="D272" t="s">
        <v>465</v>
      </c>
      <c r="E272" t="s">
        <v>39</v>
      </c>
      <c r="F272">
        <v>1</v>
      </c>
      <c r="G272">
        <v>1</v>
      </c>
      <c r="H272">
        <v>0</v>
      </c>
      <c r="I272">
        <v>1</v>
      </c>
      <c r="J272" t="e">
        <f>VLOOKUP(B272,'Quotazioni calciatori'!N:N,1,FALSE)</f>
        <v>#N/A</v>
      </c>
    </row>
    <row r="273" spans="1:10" x14ac:dyDescent="0.35">
      <c r="A273" t="str">
        <f t="shared" si="4"/>
        <v>GalloLecce</v>
      </c>
      <c r="B273">
        <v>4502</v>
      </c>
      <c r="C273" t="s">
        <v>92</v>
      </c>
      <c r="D273" t="s">
        <v>166</v>
      </c>
      <c r="E273" t="s">
        <v>39</v>
      </c>
      <c r="F273">
        <v>6</v>
      </c>
      <c r="G273">
        <v>6</v>
      </c>
      <c r="H273">
        <v>0</v>
      </c>
      <c r="I273">
        <v>12</v>
      </c>
      <c r="J273">
        <f>VLOOKUP(B273,'Quotazioni calciatori'!N:N,1,FALSE)</f>
        <v>4502</v>
      </c>
    </row>
    <row r="274" spans="1:10" x14ac:dyDescent="0.35">
      <c r="A274" t="str">
        <f t="shared" si="4"/>
        <v>GandelmanLecce</v>
      </c>
      <c r="B274">
        <v>7318</v>
      </c>
      <c r="C274" t="s">
        <v>283</v>
      </c>
      <c r="D274" t="s">
        <v>424</v>
      </c>
      <c r="E274" t="s">
        <v>39</v>
      </c>
      <c r="F274">
        <v>4</v>
      </c>
      <c r="G274">
        <v>5</v>
      </c>
      <c r="H274">
        <v>-1</v>
      </c>
      <c r="I274">
        <v>10</v>
      </c>
      <c r="J274">
        <f>VLOOKUP(B274,'Quotazioni calciatori'!N:N,1,FALSE)</f>
        <v>7318</v>
      </c>
    </row>
    <row r="275" spans="1:10" x14ac:dyDescent="0.35">
      <c r="A275" t="str">
        <f t="shared" si="4"/>
        <v>Gaspar K.Lecce</v>
      </c>
      <c r="B275">
        <v>6632</v>
      </c>
      <c r="C275" t="s">
        <v>92</v>
      </c>
      <c r="D275" t="s">
        <v>205</v>
      </c>
      <c r="E275" t="s">
        <v>39</v>
      </c>
      <c r="F275">
        <v>4</v>
      </c>
      <c r="G275">
        <v>5</v>
      </c>
      <c r="H275">
        <v>-1</v>
      </c>
      <c r="I275">
        <v>12</v>
      </c>
      <c r="J275">
        <f>VLOOKUP(B275,'Quotazioni calciatori'!N:N,1,FALSE)</f>
        <v>6632</v>
      </c>
    </row>
    <row r="276" spans="1:10" x14ac:dyDescent="0.35">
      <c r="A276" t="str">
        <f t="shared" si="4"/>
        <v>GeubbelsLecce</v>
      </c>
      <c r="B276">
        <v>5029</v>
      </c>
      <c r="C276" t="s">
        <v>478</v>
      </c>
      <c r="D276" t="s">
        <v>530</v>
      </c>
      <c r="E276" t="s">
        <v>39</v>
      </c>
      <c r="F276">
        <v>7</v>
      </c>
      <c r="G276">
        <v>9</v>
      </c>
      <c r="H276">
        <v>-2</v>
      </c>
      <c r="I276">
        <v>15</v>
      </c>
      <c r="J276">
        <f>VLOOKUP(B276,'Quotazioni calciatori'!N:N,1,FALSE)</f>
        <v>5029</v>
      </c>
    </row>
    <row r="277" spans="1:10" x14ac:dyDescent="0.35">
      <c r="A277" t="str">
        <f t="shared" si="4"/>
        <v>GorterLecce</v>
      </c>
      <c r="B277">
        <v>7248</v>
      </c>
      <c r="C277" t="s">
        <v>283</v>
      </c>
      <c r="D277" t="s">
        <v>438</v>
      </c>
      <c r="E277" t="s">
        <v>39</v>
      </c>
      <c r="F277">
        <v>3</v>
      </c>
      <c r="G277">
        <v>1</v>
      </c>
      <c r="H277">
        <v>2</v>
      </c>
      <c r="I277">
        <v>12</v>
      </c>
      <c r="J277">
        <f>VLOOKUP(B277,'Quotazioni calciatori'!N:N,1,FALSE)</f>
        <v>7248</v>
      </c>
    </row>
    <row r="278" spans="1:10" x14ac:dyDescent="0.35">
      <c r="A278" t="str">
        <f t="shared" si="4"/>
        <v>IlicLecce</v>
      </c>
      <c r="B278">
        <v>5007</v>
      </c>
      <c r="C278" t="s">
        <v>283</v>
      </c>
      <c r="D278" t="s">
        <v>430</v>
      </c>
      <c r="E278" t="s">
        <v>39</v>
      </c>
      <c r="F278">
        <v>4</v>
      </c>
      <c r="G278">
        <v>1</v>
      </c>
      <c r="H278">
        <v>3</v>
      </c>
      <c r="I278">
        <v>13</v>
      </c>
      <c r="J278">
        <f>VLOOKUP(B278,'Quotazioni calciatori'!N:N,1,FALSE)</f>
        <v>5007</v>
      </c>
    </row>
    <row r="279" spans="1:10" x14ac:dyDescent="0.35">
      <c r="A279" t="str">
        <f t="shared" si="4"/>
        <v>JeanLecce</v>
      </c>
      <c r="B279">
        <v>6883</v>
      </c>
      <c r="C279" t="s">
        <v>92</v>
      </c>
      <c r="D279" t="s">
        <v>265</v>
      </c>
      <c r="E279" t="s">
        <v>39</v>
      </c>
      <c r="F279">
        <v>1</v>
      </c>
      <c r="G279">
        <v>2</v>
      </c>
      <c r="H279">
        <v>-1</v>
      </c>
      <c r="I279">
        <v>4</v>
      </c>
      <c r="J279">
        <f>VLOOKUP(B279,'Quotazioni calciatori'!N:N,1,FALSE)</f>
        <v>6883</v>
      </c>
    </row>
    <row r="280" spans="1:10" x14ac:dyDescent="0.35">
      <c r="A280" t="str">
        <f t="shared" si="4"/>
        <v>KabaLecce</v>
      </c>
      <c r="B280">
        <v>6410</v>
      </c>
      <c r="C280" t="s">
        <v>283</v>
      </c>
      <c r="D280" t="s">
        <v>451</v>
      </c>
      <c r="E280" t="s">
        <v>39</v>
      </c>
      <c r="F280">
        <v>2</v>
      </c>
      <c r="G280">
        <v>1</v>
      </c>
      <c r="H280">
        <v>1</v>
      </c>
      <c r="I280">
        <v>2</v>
      </c>
      <c r="J280">
        <f>VLOOKUP(B280,'Quotazioni calciatori'!N:N,1,FALSE)</f>
        <v>6410</v>
      </c>
    </row>
    <row r="281" spans="1:10" x14ac:dyDescent="0.35">
      <c r="A281" t="str">
        <f t="shared" si="4"/>
        <v>LaerkeLecce</v>
      </c>
      <c r="B281">
        <v>7571</v>
      </c>
      <c r="C281" t="s">
        <v>283</v>
      </c>
      <c r="D281" t="s">
        <v>471</v>
      </c>
      <c r="E281" t="s">
        <v>39</v>
      </c>
      <c r="F281">
        <v>1</v>
      </c>
      <c r="G281">
        <v>1</v>
      </c>
      <c r="H281">
        <v>0</v>
      </c>
      <c r="I281">
        <v>1</v>
      </c>
      <c r="J281">
        <f>VLOOKUP(B281,'Quotazioni calciatori'!N:N,1,FALSE)</f>
        <v>7571</v>
      </c>
    </row>
    <row r="282" spans="1:10" x14ac:dyDescent="0.35">
      <c r="A282" t="str">
        <f t="shared" si="4"/>
        <v>MalehLecce</v>
      </c>
      <c r="B282">
        <v>5457</v>
      </c>
      <c r="C282" t="s">
        <v>283</v>
      </c>
      <c r="D282" t="s">
        <v>421</v>
      </c>
      <c r="E282" t="s">
        <v>39</v>
      </c>
      <c r="F282">
        <v>4</v>
      </c>
      <c r="G282">
        <v>2</v>
      </c>
      <c r="H282">
        <v>2</v>
      </c>
      <c r="I282">
        <v>7</v>
      </c>
      <c r="J282">
        <f>VLOOKUP(B282,'Quotazioni calciatori'!N:N,1,FALSE)</f>
        <v>5457</v>
      </c>
    </row>
    <row r="283" spans="1:10" x14ac:dyDescent="0.35">
      <c r="A283" t="str">
        <f t="shared" si="4"/>
        <v>Monteiro J.Lecce</v>
      </c>
      <c r="B283">
        <v>7619</v>
      </c>
      <c r="C283" t="s">
        <v>283</v>
      </c>
      <c r="D283" t="s">
        <v>392</v>
      </c>
      <c r="E283" t="s">
        <v>39</v>
      </c>
      <c r="F283">
        <v>6</v>
      </c>
      <c r="G283">
        <v>7</v>
      </c>
      <c r="H283">
        <v>-1</v>
      </c>
      <c r="I283">
        <v>20</v>
      </c>
      <c r="J283">
        <f>VLOOKUP(B283,'Quotazioni calciatori'!N:N,1,FALSE)</f>
        <v>7619</v>
      </c>
    </row>
    <row r="284" spans="1:10" x14ac:dyDescent="0.35">
      <c r="A284" t="str">
        <f t="shared" si="4"/>
        <v>NdabaLecce</v>
      </c>
      <c r="B284">
        <v>7182</v>
      </c>
      <c r="C284" t="s">
        <v>92</v>
      </c>
      <c r="D284" t="s">
        <v>266</v>
      </c>
      <c r="E284" t="s">
        <v>39</v>
      </c>
      <c r="F284">
        <v>1</v>
      </c>
      <c r="G284">
        <v>1</v>
      </c>
      <c r="H284">
        <v>0</v>
      </c>
      <c r="I284">
        <v>5</v>
      </c>
      <c r="J284">
        <f>VLOOKUP(B284,'Quotazioni calciatori'!N:N,1,FALSE)</f>
        <v>7182</v>
      </c>
    </row>
    <row r="285" spans="1:10" x14ac:dyDescent="0.35">
      <c r="A285" t="str">
        <f t="shared" si="4"/>
        <v>N'DriLecce</v>
      </c>
      <c r="B285">
        <v>7001</v>
      </c>
      <c r="C285" t="s">
        <v>478</v>
      </c>
      <c r="D285" t="s">
        <v>545</v>
      </c>
      <c r="E285" t="s">
        <v>39</v>
      </c>
      <c r="F285">
        <v>4</v>
      </c>
      <c r="G285">
        <v>3</v>
      </c>
      <c r="H285">
        <v>1</v>
      </c>
      <c r="I285">
        <v>10</v>
      </c>
      <c r="J285">
        <f>VLOOKUP(B285,'Quotazioni calciatori'!N:N,1,FALSE)</f>
        <v>7001</v>
      </c>
    </row>
    <row r="286" spans="1:10" x14ac:dyDescent="0.35">
      <c r="A286" t="str">
        <f t="shared" si="4"/>
        <v>NgomLecce</v>
      </c>
      <c r="B286">
        <v>7322</v>
      </c>
      <c r="C286" t="s">
        <v>283</v>
      </c>
      <c r="D286" t="s">
        <v>422</v>
      </c>
      <c r="E286" t="s">
        <v>39</v>
      </c>
      <c r="F286">
        <v>4</v>
      </c>
      <c r="G286">
        <v>4</v>
      </c>
      <c r="H286">
        <v>0</v>
      </c>
      <c r="I286">
        <v>12</v>
      </c>
      <c r="J286">
        <f>VLOOKUP(B286,'Quotazioni calciatori'!N:N,1,FALSE)</f>
        <v>7322</v>
      </c>
    </row>
    <row r="287" spans="1:10" x14ac:dyDescent="0.35">
      <c r="A287" t="str">
        <f t="shared" si="4"/>
        <v>PenevLecce</v>
      </c>
      <c r="B287">
        <v>7557</v>
      </c>
      <c r="C287" t="s">
        <v>8</v>
      </c>
      <c r="D287" t="s">
        <v>83</v>
      </c>
      <c r="E287" t="s">
        <v>39</v>
      </c>
      <c r="F287">
        <v>1</v>
      </c>
      <c r="G287">
        <v>1</v>
      </c>
      <c r="H287">
        <v>0</v>
      </c>
      <c r="I287">
        <v>1</v>
      </c>
      <c r="J287">
        <f>VLOOKUP(B287,'Quotazioni calciatori'!N:N,1,FALSE)</f>
        <v>7557</v>
      </c>
    </row>
    <row r="288" spans="1:10" x14ac:dyDescent="0.35">
      <c r="A288" t="str">
        <f t="shared" si="4"/>
        <v>PierottiLecce</v>
      </c>
      <c r="B288">
        <v>6549</v>
      </c>
      <c r="C288" t="s">
        <v>283</v>
      </c>
      <c r="D288" t="s">
        <v>382</v>
      </c>
      <c r="E288" t="s">
        <v>39</v>
      </c>
      <c r="F288">
        <v>6</v>
      </c>
      <c r="G288">
        <v>6</v>
      </c>
      <c r="H288">
        <v>0</v>
      </c>
      <c r="I288">
        <v>16</v>
      </c>
      <c r="J288">
        <f>VLOOKUP(B288,'Quotazioni calciatori'!N:N,1,FALSE)</f>
        <v>6549</v>
      </c>
    </row>
    <row r="289" spans="1:10" x14ac:dyDescent="0.35">
      <c r="A289" t="str">
        <f t="shared" si="4"/>
        <v>SiebertLecce</v>
      </c>
      <c r="B289">
        <v>7240</v>
      </c>
      <c r="C289" t="s">
        <v>92</v>
      </c>
      <c r="D289" t="s">
        <v>206</v>
      </c>
      <c r="E289" t="s">
        <v>39</v>
      </c>
      <c r="F289">
        <v>4</v>
      </c>
      <c r="G289">
        <v>4</v>
      </c>
      <c r="H289">
        <v>0</v>
      </c>
      <c r="I289">
        <v>12</v>
      </c>
      <c r="J289">
        <f>VLOOKUP(B289,'Quotazioni calciatori'!N:N,1,FALSE)</f>
        <v>7240</v>
      </c>
    </row>
    <row r="290" spans="1:10" x14ac:dyDescent="0.35">
      <c r="A290" t="str">
        <f t="shared" si="4"/>
        <v>StulicLecce</v>
      </c>
      <c r="B290">
        <v>7252</v>
      </c>
      <c r="C290" t="s">
        <v>478</v>
      </c>
      <c r="D290" t="s">
        <v>535</v>
      </c>
      <c r="E290" t="s">
        <v>39</v>
      </c>
      <c r="F290">
        <v>6</v>
      </c>
      <c r="G290">
        <v>7</v>
      </c>
      <c r="H290">
        <v>-1</v>
      </c>
      <c r="I290">
        <v>11</v>
      </c>
      <c r="J290">
        <f>VLOOKUP(B290,'Quotazioni calciatori'!N:N,1,FALSE)</f>
        <v>7252</v>
      </c>
    </row>
    <row r="291" spans="1:10" x14ac:dyDescent="0.35">
      <c r="A291" t="str">
        <f t="shared" si="4"/>
        <v>Tiago GabrielLecce</v>
      </c>
      <c r="B291">
        <v>6989</v>
      </c>
      <c r="C291" t="s">
        <v>92</v>
      </c>
      <c r="D291" t="s">
        <v>125</v>
      </c>
      <c r="E291" t="s">
        <v>39</v>
      </c>
      <c r="F291">
        <v>9</v>
      </c>
      <c r="G291">
        <v>7</v>
      </c>
      <c r="H291">
        <v>2</v>
      </c>
      <c r="I291">
        <v>22</v>
      </c>
      <c r="J291">
        <f>VLOOKUP(B291,'Quotazioni calciatori'!N:N,1,FALSE)</f>
        <v>6989</v>
      </c>
    </row>
    <row r="292" spans="1:10" x14ac:dyDescent="0.35">
      <c r="A292" t="str">
        <f t="shared" si="4"/>
        <v>Veiga D.Lecce</v>
      </c>
      <c r="B292">
        <v>6990</v>
      </c>
      <c r="C292" t="s">
        <v>92</v>
      </c>
      <c r="D292" t="s">
        <v>165</v>
      </c>
      <c r="E292" t="s">
        <v>39</v>
      </c>
      <c r="F292">
        <v>6</v>
      </c>
      <c r="G292">
        <v>5</v>
      </c>
      <c r="H292">
        <v>1</v>
      </c>
      <c r="I292">
        <v>12</v>
      </c>
      <c r="J292">
        <f>VLOOKUP(B292,'Quotazioni calciatori'!N:N,1,FALSE)</f>
        <v>6990</v>
      </c>
    </row>
    <row r="293" spans="1:10" x14ac:dyDescent="0.35">
      <c r="A293" t="str">
        <f t="shared" si="4"/>
        <v>BartesaghiMilan</v>
      </c>
      <c r="B293">
        <v>6496</v>
      </c>
      <c r="C293" t="s">
        <v>92</v>
      </c>
      <c r="D293" t="s">
        <v>151</v>
      </c>
      <c r="E293" t="s">
        <v>16</v>
      </c>
      <c r="F293">
        <v>7</v>
      </c>
      <c r="G293">
        <v>8</v>
      </c>
      <c r="H293">
        <v>-1</v>
      </c>
      <c r="I293">
        <v>12</v>
      </c>
      <c r="J293">
        <f>VLOOKUP(B293,'Quotazioni calciatori'!N:N,1,FALSE)</f>
        <v>6496</v>
      </c>
    </row>
    <row r="294" spans="1:10" x14ac:dyDescent="0.35">
      <c r="A294" t="str">
        <f t="shared" si="4"/>
        <v>CamardaMilan</v>
      </c>
      <c r="B294">
        <v>6519</v>
      </c>
      <c r="C294" t="s">
        <v>478</v>
      </c>
      <c r="D294" t="s">
        <v>546</v>
      </c>
      <c r="E294" t="s">
        <v>16</v>
      </c>
      <c r="F294">
        <v>4</v>
      </c>
      <c r="G294">
        <v>5</v>
      </c>
      <c r="H294">
        <v>-1</v>
      </c>
      <c r="I294">
        <v>12</v>
      </c>
      <c r="J294">
        <f>VLOOKUP(B294,'Quotazioni calciatori'!N:N,1,FALSE)</f>
        <v>6519</v>
      </c>
    </row>
    <row r="295" spans="1:10" x14ac:dyDescent="0.35">
      <c r="A295" t="str">
        <f t="shared" si="4"/>
        <v>ChukwuezeMilan</v>
      </c>
      <c r="B295">
        <v>4856</v>
      </c>
      <c r="C295" t="s">
        <v>283</v>
      </c>
      <c r="D295" t="s">
        <v>334</v>
      </c>
      <c r="E295" t="s">
        <v>16</v>
      </c>
      <c r="F295">
        <v>10</v>
      </c>
      <c r="G295">
        <v>6</v>
      </c>
      <c r="H295">
        <v>4</v>
      </c>
      <c r="I295">
        <v>23</v>
      </c>
      <c r="J295">
        <f>VLOOKUP(B295,'Quotazioni calciatori'!N:N,1,FALSE)</f>
        <v>4856</v>
      </c>
    </row>
    <row r="296" spans="1:10" x14ac:dyDescent="0.35">
      <c r="A296" t="str">
        <f t="shared" si="4"/>
        <v>Cissè A.Milan</v>
      </c>
      <c r="B296">
        <v>6618</v>
      </c>
      <c r="C296" t="s">
        <v>283</v>
      </c>
      <c r="D296" t="s">
        <v>390</v>
      </c>
      <c r="E296" t="s">
        <v>16</v>
      </c>
      <c r="F296">
        <v>6</v>
      </c>
      <c r="G296">
        <v>3</v>
      </c>
      <c r="H296">
        <v>3</v>
      </c>
      <c r="I296">
        <v>34</v>
      </c>
      <c r="J296">
        <f>VLOOKUP(B296,'Quotazioni calciatori'!N:N,1,FALSE)</f>
        <v>6618</v>
      </c>
    </row>
    <row r="297" spans="1:10" x14ac:dyDescent="0.35">
      <c r="A297" t="str">
        <f t="shared" si="4"/>
        <v>ComottoMilan</v>
      </c>
      <c r="B297">
        <v>7572</v>
      </c>
      <c r="C297" t="s">
        <v>283</v>
      </c>
      <c r="D297" t="s">
        <v>472</v>
      </c>
      <c r="E297" t="s">
        <v>16</v>
      </c>
      <c r="F297">
        <v>1</v>
      </c>
      <c r="G297">
        <v>1</v>
      </c>
      <c r="H297">
        <v>0</v>
      </c>
      <c r="I297">
        <v>1</v>
      </c>
      <c r="J297">
        <f>VLOOKUP(B297,'Quotazioni calciatori'!N:N,1,FALSE)</f>
        <v>7572</v>
      </c>
    </row>
    <row r="298" spans="1:10" x14ac:dyDescent="0.35">
      <c r="A298" t="str">
        <f t="shared" si="4"/>
        <v>De WinterMilan</v>
      </c>
      <c r="B298">
        <v>5739</v>
      </c>
      <c r="C298" t="s">
        <v>92</v>
      </c>
      <c r="D298" t="s">
        <v>168</v>
      </c>
      <c r="E298" t="s">
        <v>16</v>
      </c>
      <c r="F298">
        <v>6</v>
      </c>
      <c r="G298">
        <v>3</v>
      </c>
      <c r="H298">
        <v>3</v>
      </c>
      <c r="I298">
        <v>23</v>
      </c>
      <c r="J298">
        <f>VLOOKUP(B298,'Quotazioni calciatori'!N:N,1,FALSE)</f>
        <v>5739</v>
      </c>
    </row>
    <row r="299" spans="1:10" x14ac:dyDescent="0.35">
      <c r="A299" t="str">
        <f t="shared" si="4"/>
        <v>Diawara S.Milan</v>
      </c>
      <c r="B299">
        <v>7525</v>
      </c>
      <c r="C299" t="s">
        <v>92</v>
      </c>
      <c r="D299" t="s">
        <v>267</v>
      </c>
      <c r="E299" t="s">
        <v>16</v>
      </c>
      <c r="F299">
        <v>1</v>
      </c>
      <c r="G299">
        <v>2</v>
      </c>
      <c r="H299">
        <v>-1</v>
      </c>
      <c r="I299">
        <v>4</v>
      </c>
      <c r="J299">
        <f>VLOOKUP(B299,'Quotazioni calciatori'!N:N,1,FALSE)</f>
        <v>7525</v>
      </c>
    </row>
    <row r="300" spans="1:10" x14ac:dyDescent="0.35">
      <c r="A300" t="str">
        <f t="shared" si="4"/>
        <v>EstupinanMilan</v>
      </c>
      <c r="B300">
        <v>5273</v>
      </c>
      <c r="C300" t="s">
        <v>92</v>
      </c>
      <c r="D300" t="s">
        <v>207</v>
      </c>
      <c r="E300" t="s">
        <v>16</v>
      </c>
      <c r="F300">
        <v>4</v>
      </c>
      <c r="G300">
        <v>3</v>
      </c>
      <c r="H300">
        <v>1</v>
      </c>
      <c r="I300">
        <v>13</v>
      </c>
      <c r="J300">
        <f>VLOOKUP(B300,'Quotazioni calciatori'!N:N,1,FALSE)</f>
        <v>5273</v>
      </c>
    </row>
    <row r="301" spans="1:10" x14ac:dyDescent="0.35">
      <c r="A301" t="str">
        <f t="shared" si="4"/>
        <v>GabbiaMilan</v>
      </c>
      <c r="B301">
        <v>4401</v>
      </c>
      <c r="C301" t="s">
        <v>92</v>
      </c>
      <c r="D301" t="s">
        <v>167</v>
      </c>
      <c r="E301" t="s">
        <v>16</v>
      </c>
      <c r="F301">
        <v>6</v>
      </c>
      <c r="G301">
        <v>7</v>
      </c>
      <c r="H301">
        <v>-1</v>
      </c>
      <c r="I301">
        <v>10</v>
      </c>
      <c r="J301">
        <f>VLOOKUP(B301,'Quotazioni calciatori'!N:N,1,FALSE)</f>
        <v>4401</v>
      </c>
    </row>
    <row r="302" spans="1:10" x14ac:dyDescent="0.35">
      <c r="A302" t="str">
        <f t="shared" si="4"/>
        <v>GilaMilan</v>
      </c>
      <c r="B302">
        <v>5833</v>
      </c>
      <c r="C302" t="s">
        <v>92</v>
      </c>
      <c r="D302" t="s">
        <v>103</v>
      </c>
      <c r="E302" t="s">
        <v>16</v>
      </c>
      <c r="F302">
        <v>13</v>
      </c>
      <c r="G302">
        <v>12</v>
      </c>
      <c r="H302">
        <v>1</v>
      </c>
      <c r="I302">
        <v>30</v>
      </c>
      <c r="J302">
        <f>VLOOKUP(B302,'Quotazioni calciatori'!N:N,1,FALSE)</f>
        <v>5833</v>
      </c>
    </row>
    <row r="303" spans="1:10" x14ac:dyDescent="0.35">
      <c r="A303" t="str">
        <f t="shared" si="4"/>
        <v>HutchinsonMilan</v>
      </c>
      <c r="B303">
        <v>7618</v>
      </c>
      <c r="C303" t="s">
        <v>283</v>
      </c>
      <c r="D303" t="s">
        <v>373</v>
      </c>
      <c r="E303" t="s">
        <v>16</v>
      </c>
      <c r="F303">
        <v>7</v>
      </c>
      <c r="G303">
        <v>8</v>
      </c>
      <c r="H303">
        <v>-1</v>
      </c>
      <c r="I303">
        <v>14</v>
      </c>
      <c r="J303">
        <f>VLOOKUP(B303,'Quotazioni calciatori'!N:N,1,FALSE)</f>
        <v>7618</v>
      </c>
    </row>
    <row r="304" spans="1:10" x14ac:dyDescent="0.35">
      <c r="A304" t="str">
        <f t="shared" si="4"/>
        <v>JashariMilan</v>
      </c>
      <c r="B304">
        <v>7203</v>
      </c>
      <c r="C304" t="s">
        <v>283</v>
      </c>
      <c r="D304" t="s">
        <v>425</v>
      </c>
      <c r="E304" t="s">
        <v>16</v>
      </c>
      <c r="F304">
        <v>4</v>
      </c>
      <c r="G304">
        <v>4</v>
      </c>
      <c r="H304">
        <v>0</v>
      </c>
      <c r="I304">
        <v>11</v>
      </c>
      <c r="J304">
        <f>VLOOKUP(B304,'Quotazioni calciatori'!N:N,1,FALSE)</f>
        <v>7203</v>
      </c>
    </row>
    <row r="305" spans="1:10" x14ac:dyDescent="0.35">
      <c r="A305" t="str">
        <f t="shared" si="4"/>
        <v>Loftus-CheekMilan</v>
      </c>
      <c r="B305">
        <v>4199</v>
      </c>
      <c r="C305" t="s">
        <v>283</v>
      </c>
      <c r="D305" t="s">
        <v>427</v>
      </c>
      <c r="E305" t="s">
        <v>16</v>
      </c>
      <c r="F305">
        <v>4</v>
      </c>
      <c r="G305">
        <v>4</v>
      </c>
      <c r="H305">
        <v>0</v>
      </c>
      <c r="I305">
        <v>15</v>
      </c>
      <c r="J305">
        <f>VLOOKUP(B305,'Quotazioni calciatori'!N:N,1,FALSE)</f>
        <v>4199</v>
      </c>
    </row>
    <row r="306" spans="1:10" x14ac:dyDescent="0.35">
      <c r="A306" t="str">
        <f t="shared" si="4"/>
        <v>MaignanMilan</v>
      </c>
      <c r="B306">
        <v>4312</v>
      </c>
      <c r="C306" t="s">
        <v>8</v>
      </c>
      <c r="D306" t="s">
        <v>15</v>
      </c>
      <c r="E306" t="s">
        <v>16</v>
      </c>
      <c r="F306">
        <v>15</v>
      </c>
      <c r="G306">
        <v>15</v>
      </c>
      <c r="H306">
        <v>0</v>
      </c>
      <c r="I306">
        <v>54</v>
      </c>
      <c r="J306">
        <f>VLOOKUP(B306,'Quotazioni calciatori'!N:N,1,FALSE)</f>
        <v>4312</v>
      </c>
    </row>
    <row r="307" spans="1:10" x14ac:dyDescent="0.35">
      <c r="A307" t="str">
        <f t="shared" si="4"/>
        <v>ModricMilan</v>
      </c>
      <c r="B307">
        <v>2606</v>
      </c>
      <c r="C307" t="s">
        <v>283</v>
      </c>
      <c r="D307" t="s">
        <v>313</v>
      </c>
      <c r="E307" t="s">
        <v>16</v>
      </c>
      <c r="F307">
        <v>12</v>
      </c>
      <c r="G307">
        <v>12</v>
      </c>
      <c r="H307">
        <v>0</v>
      </c>
      <c r="I307">
        <v>40</v>
      </c>
      <c r="J307">
        <f>VLOOKUP(B307,'Quotazioni calciatori'!N:N,1,FALSE)</f>
        <v>2606</v>
      </c>
    </row>
    <row r="308" spans="1:10" x14ac:dyDescent="0.35">
      <c r="A308" t="str">
        <f t="shared" si="4"/>
        <v>MoreiraMilan</v>
      </c>
      <c r="B308">
        <v>6372</v>
      </c>
      <c r="C308" t="s">
        <v>283</v>
      </c>
      <c r="D308" t="s">
        <v>298</v>
      </c>
      <c r="E308" t="s">
        <v>16</v>
      </c>
      <c r="F308">
        <v>15</v>
      </c>
      <c r="G308">
        <v>12</v>
      </c>
      <c r="H308">
        <v>3</v>
      </c>
      <c r="I308">
        <v>60</v>
      </c>
      <c r="J308">
        <f>VLOOKUP(B308,'Quotazioni calciatori'!N:N,1,FALSE)</f>
        <v>6372</v>
      </c>
    </row>
    <row r="309" spans="1:10" x14ac:dyDescent="0.35">
      <c r="A309" t="str">
        <f t="shared" si="4"/>
        <v>MusahMilan</v>
      </c>
      <c r="B309">
        <v>5295</v>
      </c>
      <c r="C309" t="s">
        <v>283</v>
      </c>
      <c r="D309" t="s">
        <v>426</v>
      </c>
      <c r="E309" t="s">
        <v>16</v>
      </c>
      <c r="F309">
        <v>4</v>
      </c>
      <c r="G309">
        <v>2</v>
      </c>
      <c r="H309">
        <v>2</v>
      </c>
      <c r="I309">
        <v>16</v>
      </c>
      <c r="J309">
        <f>VLOOKUP(B309,'Quotazioni calciatori'!N:N,1,FALSE)</f>
        <v>5295</v>
      </c>
    </row>
    <row r="310" spans="1:10" x14ac:dyDescent="0.35">
      <c r="A310" t="str">
        <f t="shared" si="4"/>
        <v>PavlovicMilan</v>
      </c>
      <c r="B310">
        <v>5022</v>
      </c>
      <c r="C310" t="s">
        <v>92</v>
      </c>
      <c r="D310" t="s">
        <v>104</v>
      </c>
      <c r="E310" t="s">
        <v>16</v>
      </c>
      <c r="F310">
        <v>13</v>
      </c>
      <c r="G310">
        <v>14</v>
      </c>
      <c r="H310">
        <v>-1</v>
      </c>
      <c r="I310">
        <v>50</v>
      </c>
      <c r="J310">
        <f>VLOOKUP(B310,'Quotazioni calciatori'!N:N,1,FALSE)</f>
        <v>5022</v>
      </c>
    </row>
    <row r="311" spans="1:10" x14ac:dyDescent="0.35">
      <c r="A311" t="str">
        <f t="shared" si="4"/>
        <v>PulisicMilan</v>
      </c>
      <c r="B311">
        <v>2423</v>
      </c>
      <c r="C311" t="s">
        <v>283</v>
      </c>
      <c r="D311" t="s">
        <v>286</v>
      </c>
      <c r="E311" t="s">
        <v>16</v>
      </c>
      <c r="F311">
        <v>25</v>
      </c>
      <c r="G311">
        <v>25</v>
      </c>
      <c r="H311">
        <v>0</v>
      </c>
      <c r="I311">
        <v>150</v>
      </c>
      <c r="J311">
        <f>VLOOKUP(B311,'Quotazioni calciatori'!N:N,1,FALSE)</f>
        <v>2423</v>
      </c>
    </row>
    <row r="312" spans="1:10" x14ac:dyDescent="0.35">
      <c r="A312" t="str">
        <f t="shared" si="4"/>
        <v>RabiotMilan</v>
      </c>
      <c r="B312">
        <v>2379</v>
      </c>
      <c r="C312" t="s">
        <v>283</v>
      </c>
      <c r="D312" t="s">
        <v>287</v>
      </c>
      <c r="E312" t="s">
        <v>16</v>
      </c>
      <c r="F312">
        <v>24</v>
      </c>
      <c r="G312">
        <v>22</v>
      </c>
      <c r="H312">
        <v>2</v>
      </c>
      <c r="I312">
        <v>141</v>
      </c>
      <c r="J312">
        <f>VLOOKUP(B312,'Quotazioni calciatori'!N:N,1,FALSE)</f>
        <v>2379</v>
      </c>
    </row>
    <row r="313" spans="1:10" x14ac:dyDescent="0.35">
      <c r="A313" t="str">
        <f t="shared" si="4"/>
        <v>Ramos G.Milan</v>
      </c>
      <c r="B313">
        <v>6397</v>
      </c>
      <c r="C313" t="s">
        <v>478</v>
      </c>
      <c r="D313" t="s">
        <v>483</v>
      </c>
      <c r="E313" t="s">
        <v>16</v>
      </c>
      <c r="F313">
        <v>25</v>
      </c>
      <c r="G313">
        <v>27</v>
      </c>
      <c r="H313">
        <v>-2</v>
      </c>
      <c r="I313">
        <v>237</v>
      </c>
      <c r="J313">
        <f>VLOOKUP(B313,'Quotazioni calciatori'!N:N,1,FALSE)</f>
        <v>6397</v>
      </c>
    </row>
    <row r="314" spans="1:10" x14ac:dyDescent="0.35">
      <c r="A314" t="str">
        <f t="shared" si="4"/>
        <v>SaelemaekersMilan</v>
      </c>
      <c r="B314">
        <v>4892</v>
      </c>
      <c r="C314" t="s">
        <v>283</v>
      </c>
      <c r="D314" t="s">
        <v>321</v>
      </c>
      <c r="E314" t="s">
        <v>16</v>
      </c>
      <c r="F314">
        <v>11</v>
      </c>
      <c r="G314">
        <v>10</v>
      </c>
      <c r="H314">
        <v>1</v>
      </c>
      <c r="I314">
        <v>32</v>
      </c>
      <c r="J314">
        <f>VLOOKUP(B314,'Quotazioni calciatori'!N:N,1,FALSE)</f>
        <v>4892</v>
      </c>
    </row>
    <row r="315" spans="1:10" x14ac:dyDescent="0.35">
      <c r="A315" t="str">
        <f t="shared" si="4"/>
        <v>TerraccianoMilan</v>
      </c>
      <c r="B315">
        <v>2815</v>
      </c>
      <c r="C315" t="s">
        <v>8</v>
      </c>
      <c r="D315" t="s">
        <v>69</v>
      </c>
      <c r="E315" t="s">
        <v>16</v>
      </c>
      <c r="F315">
        <v>1</v>
      </c>
      <c r="G315">
        <v>1</v>
      </c>
      <c r="H315">
        <v>0</v>
      </c>
      <c r="I315">
        <v>1</v>
      </c>
      <c r="J315">
        <f>VLOOKUP(B315,'Quotazioni calciatori'!N:N,1,FALSE)</f>
        <v>2815</v>
      </c>
    </row>
    <row r="316" spans="1:10" x14ac:dyDescent="0.35">
      <c r="A316" t="str">
        <f t="shared" si="4"/>
        <v>Terracciano F.Milan</v>
      </c>
      <c r="B316">
        <v>5812</v>
      </c>
      <c r="C316" t="s">
        <v>92</v>
      </c>
      <c r="D316" t="s">
        <v>280</v>
      </c>
      <c r="E316" t="s">
        <v>16</v>
      </c>
      <c r="F316">
        <v>1</v>
      </c>
      <c r="G316">
        <v>2</v>
      </c>
      <c r="H316">
        <v>-1</v>
      </c>
      <c r="I316">
        <v>4</v>
      </c>
      <c r="J316" t="e">
        <f>VLOOKUP(B316,'Quotazioni calciatori'!N:N,1,FALSE)</f>
        <v>#N/A</v>
      </c>
    </row>
    <row r="317" spans="1:10" x14ac:dyDescent="0.35">
      <c r="A317" t="str">
        <f t="shared" si="4"/>
        <v>TomoriMilan</v>
      </c>
      <c r="B317">
        <v>4751</v>
      </c>
      <c r="C317" t="s">
        <v>92</v>
      </c>
      <c r="D317" t="s">
        <v>191</v>
      </c>
      <c r="E317" t="s">
        <v>16</v>
      </c>
      <c r="F317">
        <v>5</v>
      </c>
      <c r="G317">
        <v>7</v>
      </c>
      <c r="H317">
        <v>-2</v>
      </c>
      <c r="I317">
        <v>7</v>
      </c>
      <c r="J317">
        <f>VLOOKUP(B317,'Quotazioni calciatori'!N:N,1,FALSE)</f>
        <v>4751</v>
      </c>
    </row>
    <row r="318" spans="1:10" x14ac:dyDescent="0.35">
      <c r="A318" t="str">
        <f t="shared" si="4"/>
        <v>TorrianiMilan</v>
      </c>
      <c r="B318">
        <v>6813</v>
      </c>
      <c r="C318" t="s">
        <v>8</v>
      </c>
      <c r="D318" t="s">
        <v>70</v>
      </c>
      <c r="E318" t="s">
        <v>16</v>
      </c>
      <c r="F318">
        <v>1</v>
      </c>
      <c r="G318">
        <v>1</v>
      </c>
      <c r="H318">
        <v>0</v>
      </c>
      <c r="I318">
        <v>1</v>
      </c>
      <c r="J318">
        <f>VLOOKUP(B318,'Quotazioni calciatori'!N:N,1,FALSE)</f>
        <v>6813</v>
      </c>
    </row>
    <row r="319" spans="1:10" x14ac:dyDescent="0.35">
      <c r="A319" t="str">
        <f t="shared" si="4"/>
        <v>AkinsanmiroMonza</v>
      </c>
      <c r="B319">
        <v>6593</v>
      </c>
      <c r="C319" t="s">
        <v>283</v>
      </c>
      <c r="D319" t="s">
        <v>355</v>
      </c>
      <c r="E319" t="s">
        <v>51</v>
      </c>
      <c r="F319">
        <v>8</v>
      </c>
      <c r="G319">
        <v>6</v>
      </c>
      <c r="H319">
        <v>2</v>
      </c>
      <c r="I319">
        <v>13</v>
      </c>
      <c r="J319">
        <f>VLOOKUP(B319,'Quotazioni calciatori'!N:N,1,FALSE)</f>
        <v>6593</v>
      </c>
    </row>
    <row r="320" spans="1:10" x14ac:dyDescent="0.35">
      <c r="A320" t="str">
        <f t="shared" si="4"/>
        <v>AntovMonza</v>
      </c>
      <c r="B320">
        <v>5399</v>
      </c>
      <c r="C320" t="s">
        <v>92</v>
      </c>
      <c r="D320" t="s">
        <v>268</v>
      </c>
      <c r="E320" t="s">
        <v>51</v>
      </c>
      <c r="F320">
        <v>1</v>
      </c>
      <c r="G320">
        <v>1</v>
      </c>
      <c r="H320">
        <v>0</v>
      </c>
      <c r="I320">
        <v>2</v>
      </c>
      <c r="J320">
        <f>VLOOKUP(B320,'Quotazioni calciatori'!N:N,1,FALSE)</f>
        <v>5399</v>
      </c>
    </row>
    <row r="321" spans="1:10" x14ac:dyDescent="0.35">
      <c r="A321" t="str">
        <f t="shared" si="4"/>
        <v>BakouneMonza</v>
      </c>
      <c r="B321">
        <v>7476</v>
      </c>
      <c r="C321" t="s">
        <v>92</v>
      </c>
      <c r="D321" t="s">
        <v>211</v>
      </c>
      <c r="E321" t="s">
        <v>51</v>
      </c>
      <c r="F321">
        <v>4</v>
      </c>
      <c r="G321">
        <v>1</v>
      </c>
      <c r="H321">
        <v>3</v>
      </c>
      <c r="I321">
        <v>4</v>
      </c>
      <c r="J321">
        <f>VLOOKUP(B321,'Quotazioni calciatori'!N:N,1,FALSE)</f>
        <v>7476</v>
      </c>
    </row>
    <row r="322" spans="1:10" x14ac:dyDescent="0.35">
      <c r="A322" t="str">
        <f t="shared" ref="A322:A385" si="5">CONCATENATE(D322,E322)</f>
        <v>BirindelliMonza</v>
      </c>
      <c r="B322">
        <v>5838</v>
      </c>
      <c r="C322" t="s">
        <v>92</v>
      </c>
      <c r="D322" t="s">
        <v>152</v>
      </c>
      <c r="E322" t="s">
        <v>51</v>
      </c>
      <c r="F322">
        <v>7</v>
      </c>
      <c r="G322">
        <v>4</v>
      </c>
      <c r="H322">
        <v>3</v>
      </c>
      <c r="I322">
        <v>13</v>
      </c>
      <c r="J322">
        <f>VLOOKUP(B322,'Quotazioni calciatori'!N:N,1,FALSE)</f>
        <v>5838</v>
      </c>
    </row>
    <row r="323" spans="1:10" x14ac:dyDescent="0.35">
      <c r="A323" t="str">
        <f t="shared" si="5"/>
        <v>Carboni A.Monza</v>
      </c>
      <c r="B323">
        <v>4925</v>
      </c>
      <c r="C323" t="s">
        <v>92</v>
      </c>
      <c r="D323" t="s">
        <v>210</v>
      </c>
      <c r="E323" t="s">
        <v>51</v>
      </c>
      <c r="F323">
        <v>4</v>
      </c>
      <c r="G323">
        <v>3</v>
      </c>
      <c r="H323">
        <v>1</v>
      </c>
      <c r="I323">
        <v>9</v>
      </c>
      <c r="J323">
        <f>VLOOKUP(B323,'Quotazioni calciatori'!N:N,1,FALSE)</f>
        <v>4925</v>
      </c>
    </row>
    <row r="324" spans="1:10" x14ac:dyDescent="0.35">
      <c r="A324" t="str">
        <f t="shared" si="5"/>
        <v>CiurriaMonza</v>
      </c>
      <c r="B324">
        <v>5880</v>
      </c>
      <c r="C324" t="s">
        <v>283</v>
      </c>
      <c r="D324" t="s">
        <v>466</v>
      </c>
      <c r="E324" t="s">
        <v>51</v>
      </c>
      <c r="F324">
        <v>1</v>
      </c>
      <c r="G324">
        <v>2</v>
      </c>
      <c r="H324">
        <v>-1</v>
      </c>
      <c r="I324">
        <v>6</v>
      </c>
      <c r="J324">
        <f>VLOOKUP(B324,'Quotazioni calciatori'!N:N,1,FALSE)</f>
        <v>5880</v>
      </c>
    </row>
    <row r="325" spans="1:10" x14ac:dyDescent="0.35">
      <c r="A325" t="str">
        <f t="shared" si="5"/>
        <v>Colombo L.Monza</v>
      </c>
      <c r="B325">
        <v>7477</v>
      </c>
      <c r="C325" t="s">
        <v>283</v>
      </c>
      <c r="D325" t="s">
        <v>452</v>
      </c>
      <c r="E325" t="s">
        <v>51</v>
      </c>
      <c r="F325">
        <v>2</v>
      </c>
      <c r="G325">
        <v>3</v>
      </c>
      <c r="H325">
        <v>-1</v>
      </c>
      <c r="I325">
        <v>4</v>
      </c>
      <c r="J325">
        <f>VLOOKUP(B325,'Quotazioni calciatori'!N:N,1,FALSE)</f>
        <v>7477</v>
      </c>
    </row>
    <row r="326" spans="1:10" x14ac:dyDescent="0.35">
      <c r="A326" t="str">
        <f t="shared" si="5"/>
        <v>ColpaniMonza</v>
      </c>
      <c r="B326">
        <v>5878</v>
      </c>
      <c r="C326" t="s">
        <v>283</v>
      </c>
      <c r="D326" t="s">
        <v>356</v>
      </c>
      <c r="E326" t="s">
        <v>51</v>
      </c>
      <c r="F326">
        <v>8</v>
      </c>
      <c r="G326">
        <v>8</v>
      </c>
      <c r="H326">
        <v>0</v>
      </c>
      <c r="I326">
        <v>15</v>
      </c>
      <c r="J326">
        <f>VLOOKUP(B326,'Quotazioni calciatori'!N:N,1,FALSE)</f>
        <v>5878</v>
      </c>
    </row>
    <row r="327" spans="1:10" x14ac:dyDescent="0.35">
      <c r="A327" t="str">
        <f t="shared" si="5"/>
        <v>CutroneMonza</v>
      </c>
      <c r="B327">
        <v>2155</v>
      </c>
      <c r="C327" t="s">
        <v>478</v>
      </c>
      <c r="D327" t="s">
        <v>525</v>
      </c>
      <c r="E327" t="s">
        <v>51</v>
      </c>
      <c r="F327">
        <v>8</v>
      </c>
      <c r="G327">
        <v>9</v>
      </c>
      <c r="H327">
        <v>-1</v>
      </c>
      <c r="I327">
        <v>16</v>
      </c>
      <c r="J327">
        <f>VLOOKUP(B327,'Quotazioni calciatori'!N:N,1,FALSE)</f>
        <v>2155</v>
      </c>
    </row>
    <row r="328" spans="1:10" x14ac:dyDescent="0.35">
      <c r="A328" t="str">
        <f t="shared" si="5"/>
        <v>Foe OndoaMonza</v>
      </c>
      <c r="B328">
        <v>7574</v>
      </c>
      <c r="C328" t="s">
        <v>283</v>
      </c>
      <c r="D328" t="s">
        <v>457</v>
      </c>
      <c r="E328" t="s">
        <v>51</v>
      </c>
      <c r="F328">
        <v>2</v>
      </c>
      <c r="G328">
        <v>1</v>
      </c>
      <c r="H328">
        <v>1</v>
      </c>
      <c r="I328">
        <v>4</v>
      </c>
      <c r="J328">
        <f>VLOOKUP(B328,'Quotazioni calciatori'!N:N,1,FALSE)</f>
        <v>7574</v>
      </c>
    </row>
    <row r="329" spans="1:10" x14ac:dyDescent="0.35">
      <c r="A329" t="str">
        <f t="shared" si="5"/>
        <v>FolorunshoMonza</v>
      </c>
      <c r="B329">
        <v>6252</v>
      </c>
      <c r="C329" t="s">
        <v>283</v>
      </c>
      <c r="D329" t="s">
        <v>440</v>
      </c>
      <c r="E329" t="s">
        <v>51</v>
      </c>
      <c r="F329">
        <v>3</v>
      </c>
      <c r="G329">
        <v>4</v>
      </c>
      <c r="H329">
        <v>-1</v>
      </c>
      <c r="I329">
        <v>15</v>
      </c>
      <c r="J329">
        <f>VLOOKUP(B329,'Quotazioni calciatori'!N:N,1,FALSE)</f>
        <v>6252</v>
      </c>
    </row>
    <row r="330" spans="1:10" x14ac:dyDescent="0.35">
      <c r="A330" t="str">
        <f t="shared" si="5"/>
        <v>Forson O.Monza</v>
      </c>
      <c r="B330">
        <v>6592</v>
      </c>
      <c r="C330" t="s">
        <v>283</v>
      </c>
      <c r="D330" t="s">
        <v>456</v>
      </c>
      <c r="E330" t="s">
        <v>51</v>
      </c>
      <c r="F330">
        <v>2</v>
      </c>
      <c r="G330">
        <v>1</v>
      </c>
      <c r="H330">
        <v>1</v>
      </c>
      <c r="I330">
        <v>1</v>
      </c>
      <c r="J330">
        <f>VLOOKUP(B330,'Quotazioni calciatori'!N:N,1,FALSE)</f>
        <v>6592</v>
      </c>
    </row>
    <row r="331" spans="1:10" x14ac:dyDescent="0.35">
      <c r="A331" t="str">
        <f t="shared" si="5"/>
        <v>GoglichidzeMonza</v>
      </c>
      <c r="B331">
        <v>6537</v>
      </c>
      <c r="C331" t="s">
        <v>92</v>
      </c>
      <c r="D331" t="s">
        <v>279</v>
      </c>
      <c r="E331" t="s">
        <v>51</v>
      </c>
      <c r="F331">
        <v>1</v>
      </c>
      <c r="G331">
        <v>2</v>
      </c>
      <c r="H331">
        <v>-1</v>
      </c>
      <c r="I331">
        <v>5</v>
      </c>
      <c r="J331">
        <f>VLOOKUP(B331,'Quotazioni calciatori'!N:N,1,FALSE)</f>
        <v>6537</v>
      </c>
    </row>
    <row r="332" spans="1:10" x14ac:dyDescent="0.35">
      <c r="A332" t="str">
        <f t="shared" si="5"/>
        <v>KouadioMonza</v>
      </c>
      <c r="B332">
        <v>7238</v>
      </c>
      <c r="C332" t="s">
        <v>92</v>
      </c>
      <c r="D332" t="s">
        <v>209</v>
      </c>
      <c r="E332" t="s">
        <v>51</v>
      </c>
      <c r="F332">
        <v>4</v>
      </c>
      <c r="G332">
        <v>3</v>
      </c>
      <c r="H332">
        <v>1</v>
      </c>
      <c r="I332">
        <v>14</v>
      </c>
      <c r="J332">
        <f>VLOOKUP(B332,'Quotazioni calciatori'!N:N,1,FALSE)</f>
        <v>7238</v>
      </c>
    </row>
    <row r="333" spans="1:10" x14ac:dyDescent="0.35">
      <c r="A333" t="str">
        <f t="shared" si="5"/>
        <v>LucchesiMonza</v>
      </c>
      <c r="B333">
        <v>6659</v>
      </c>
      <c r="C333" t="s">
        <v>92</v>
      </c>
      <c r="D333" t="s">
        <v>208</v>
      </c>
      <c r="E333" t="s">
        <v>51</v>
      </c>
      <c r="F333">
        <v>4</v>
      </c>
      <c r="G333">
        <v>4</v>
      </c>
      <c r="H333">
        <v>0</v>
      </c>
      <c r="I333">
        <v>12</v>
      </c>
      <c r="J333">
        <f>VLOOKUP(B333,'Quotazioni calciatori'!N:N,1,FALSE)</f>
        <v>6659</v>
      </c>
    </row>
    <row r="334" spans="1:10" x14ac:dyDescent="0.35">
      <c r="A334" t="str">
        <f t="shared" si="5"/>
        <v>MangasMonza</v>
      </c>
      <c r="B334">
        <v>7485</v>
      </c>
      <c r="C334" t="s">
        <v>92</v>
      </c>
      <c r="D334" t="s">
        <v>116</v>
      </c>
      <c r="E334" t="s">
        <v>51</v>
      </c>
      <c r="F334">
        <v>10</v>
      </c>
      <c r="G334">
        <v>6</v>
      </c>
      <c r="H334">
        <v>4</v>
      </c>
      <c r="I334">
        <v>25</v>
      </c>
      <c r="J334">
        <f>VLOOKUP(B334,'Quotazioni calciatori'!N:N,1,FALSE)</f>
        <v>7485</v>
      </c>
    </row>
    <row r="335" spans="1:10" x14ac:dyDescent="0.35">
      <c r="A335" t="str">
        <f t="shared" si="5"/>
        <v>MayeMonza</v>
      </c>
      <c r="B335">
        <v>7604</v>
      </c>
      <c r="C335" t="s">
        <v>92</v>
      </c>
      <c r="D335" t="s">
        <v>281</v>
      </c>
      <c r="E335" t="s">
        <v>51</v>
      </c>
      <c r="F335">
        <v>1</v>
      </c>
      <c r="G335">
        <v>1</v>
      </c>
      <c r="H335">
        <v>0</v>
      </c>
      <c r="I335">
        <v>1</v>
      </c>
      <c r="J335">
        <f>VLOOKUP(B335,'Quotazioni calciatori'!N:N,1,FALSE)</f>
        <v>7604</v>
      </c>
    </row>
    <row r="336" spans="1:10" x14ac:dyDescent="0.35">
      <c r="A336" t="str">
        <f t="shared" si="5"/>
        <v>MotaMonza</v>
      </c>
      <c r="B336">
        <v>5882</v>
      </c>
      <c r="C336" t="s">
        <v>478</v>
      </c>
      <c r="D336" t="s">
        <v>536</v>
      </c>
      <c r="E336" t="s">
        <v>51</v>
      </c>
      <c r="F336">
        <v>6</v>
      </c>
      <c r="G336">
        <v>5</v>
      </c>
      <c r="H336">
        <v>1</v>
      </c>
      <c r="I336">
        <v>10</v>
      </c>
      <c r="J336">
        <f>VLOOKUP(B336,'Quotazioni calciatori'!N:N,1,FALSE)</f>
        <v>5882</v>
      </c>
    </row>
    <row r="337" spans="1:10" x14ac:dyDescent="0.35">
      <c r="A337" t="str">
        <f t="shared" si="5"/>
        <v>MoutMonza</v>
      </c>
      <c r="B337">
        <v>7575</v>
      </c>
      <c r="C337" t="s">
        <v>283</v>
      </c>
      <c r="D337" t="s">
        <v>473</v>
      </c>
      <c r="E337" t="s">
        <v>51</v>
      </c>
      <c r="F337">
        <v>1</v>
      </c>
      <c r="G337">
        <v>1</v>
      </c>
      <c r="H337">
        <v>0</v>
      </c>
      <c r="I337">
        <v>12</v>
      </c>
      <c r="J337">
        <f>VLOOKUP(B337,'Quotazioni calciatori'!N:N,1,FALSE)</f>
        <v>7575</v>
      </c>
    </row>
    <row r="338" spans="1:10" x14ac:dyDescent="0.35">
      <c r="A338" t="str">
        <f t="shared" si="5"/>
        <v>NgongeMonza</v>
      </c>
      <c r="B338">
        <v>6145</v>
      </c>
      <c r="C338" t="s">
        <v>478</v>
      </c>
      <c r="D338" t="s">
        <v>552</v>
      </c>
      <c r="E338" t="s">
        <v>51</v>
      </c>
      <c r="F338">
        <v>4</v>
      </c>
      <c r="G338">
        <v>5</v>
      </c>
      <c r="H338">
        <v>-1</v>
      </c>
      <c r="I338">
        <v>10</v>
      </c>
      <c r="J338">
        <f>VLOOKUP(B338,'Quotazioni calciatori'!N:N,1,FALSE)</f>
        <v>6145</v>
      </c>
    </row>
    <row r="339" spans="1:10" x14ac:dyDescent="0.35">
      <c r="A339" t="str">
        <f t="shared" si="5"/>
        <v>PessinaMonza</v>
      </c>
      <c r="B339">
        <v>2741</v>
      </c>
      <c r="C339" t="s">
        <v>283</v>
      </c>
      <c r="D339" t="s">
        <v>403</v>
      </c>
      <c r="E339" t="s">
        <v>51</v>
      </c>
      <c r="F339">
        <v>5</v>
      </c>
      <c r="G339">
        <v>7</v>
      </c>
      <c r="H339">
        <v>-2</v>
      </c>
      <c r="I339">
        <v>15</v>
      </c>
      <c r="J339">
        <f>VLOOKUP(B339,'Quotazioni calciatori'!N:N,1,FALSE)</f>
        <v>2741</v>
      </c>
    </row>
    <row r="340" spans="1:10" x14ac:dyDescent="0.35">
      <c r="A340" t="str">
        <f t="shared" si="5"/>
        <v>Robinson J.Monza</v>
      </c>
      <c r="B340">
        <v>7546</v>
      </c>
      <c r="C340" t="s">
        <v>478</v>
      </c>
      <c r="D340" t="s">
        <v>527</v>
      </c>
      <c r="E340" t="s">
        <v>51</v>
      </c>
      <c r="F340">
        <v>8</v>
      </c>
      <c r="G340">
        <v>4</v>
      </c>
      <c r="H340">
        <v>4</v>
      </c>
      <c r="I340">
        <v>13</v>
      </c>
      <c r="J340">
        <f>VLOOKUP(B340,'Quotazioni calciatori'!N:N,1,FALSE)</f>
        <v>7546</v>
      </c>
    </row>
    <row r="341" spans="1:10" x14ac:dyDescent="0.35">
      <c r="A341" t="str">
        <f t="shared" si="5"/>
        <v>StrajnarMonza</v>
      </c>
      <c r="B341">
        <v>7475</v>
      </c>
      <c r="C341" t="s">
        <v>8</v>
      </c>
      <c r="D341" t="s">
        <v>71</v>
      </c>
      <c r="E341" t="s">
        <v>51</v>
      </c>
      <c r="F341">
        <v>1</v>
      </c>
      <c r="G341">
        <v>1</v>
      </c>
      <c r="H341">
        <v>0</v>
      </c>
      <c r="I341">
        <v>1</v>
      </c>
      <c r="J341">
        <f>VLOOKUP(B341,'Quotazioni calciatori'!N:N,1,FALSE)</f>
        <v>7475</v>
      </c>
    </row>
    <row r="342" spans="1:10" x14ac:dyDescent="0.35">
      <c r="A342" t="str">
        <f t="shared" si="5"/>
        <v>ThiamMonza</v>
      </c>
      <c r="B342">
        <v>4485</v>
      </c>
      <c r="C342" t="s">
        <v>8</v>
      </c>
      <c r="D342" t="s">
        <v>52</v>
      </c>
      <c r="E342" t="s">
        <v>51</v>
      </c>
      <c r="F342">
        <v>3</v>
      </c>
      <c r="G342">
        <v>5</v>
      </c>
      <c r="H342">
        <v>-2</v>
      </c>
      <c r="I342">
        <v>3</v>
      </c>
      <c r="J342">
        <f>VLOOKUP(B342,'Quotazioni calciatori'!N:N,1,FALSE)</f>
        <v>4485</v>
      </c>
    </row>
    <row r="343" spans="1:10" x14ac:dyDescent="0.35">
      <c r="A343" t="str">
        <f t="shared" si="5"/>
        <v>TornqvistMonza</v>
      </c>
      <c r="B343">
        <v>7301</v>
      </c>
      <c r="C343" t="s">
        <v>8</v>
      </c>
      <c r="D343" t="s">
        <v>50</v>
      </c>
      <c r="E343" t="s">
        <v>51</v>
      </c>
      <c r="F343">
        <v>3</v>
      </c>
      <c r="G343">
        <v>1</v>
      </c>
      <c r="H343">
        <v>2</v>
      </c>
      <c r="I343">
        <v>8</v>
      </c>
      <c r="J343">
        <f>VLOOKUP(B343,'Quotazioni calciatori'!N:N,1,FALSE)</f>
        <v>7301</v>
      </c>
    </row>
    <row r="344" spans="1:10" x14ac:dyDescent="0.35">
      <c r="A344" t="str">
        <f t="shared" si="5"/>
        <v>Tourè I.Monza</v>
      </c>
      <c r="B344">
        <v>7146</v>
      </c>
      <c r="C344" t="s">
        <v>283</v>
      </c>
      <c r="D344" t="s">
        <v>433</v>
      </c>
      <c r="E344" t="s">
        <v>51</v>
      </c>
      <c r="F344">
        <v>4</v>
      </c>
      <c r="G344">
        <v>6</v>
      </c>
      <c r="H344">
        <v>-2</v>
      </c>
      <c r="I344">
        <v>10</v>
      </c>
      <c r="J344">
        <f>VLOOKUP(B344,'Quotazioni calciatori'!N:N,1,FALSE)</f>
        <v>7146</v>
      </c>
    </row>
    <row r="345" spans="1:10" x14ac:dyDescent="0.35">
      <c r="A345" t="str">
        <f t="shared" si="5"/>
        <v>Varela G.Monza</v>
      </c>
      <c r="B345">
        <v>7523</v>
      </c>
      <c r="C345" t="s">
        <v>478</v>
      </c>
      <c r="D345" t="s">
        <v>517</v>
      </c>
      <c r="E345" t="s">
        <v>51</v>
      </c>
      <c r="F345">
        <v>10</v>
      </c>
      <c r="G345">
        <v>3</v>
      </c>
      <c r="H345">
        <v>7</v>
      </c>
      <c r="I345">
        <v>69</v>
      </c>
      <c r="J345">
        <f>VLOOKUP(B345,'Quotazioni calciatori'!N:N,1,FALSE)</f>
        <v>7523</v>
      </c>
    </row>
    <row r="346" spans="1:10" x14ac:dyDescent="0.35">
      <c r="A346" t="str">
        <f t="shared" si="5"/>
        <v>ZeballosMonza</v>
      </c>
      <c r="B346">
        <v>7620</v>
      </c>
      <c r="C346" t="s">
        <v>478</v>
      </c>
      <c r="D346" t="s">
        <v>532</v>
      </c>
      <c r="E346" t="s">
        <v>51</v>
      </c>
      <c r="F346">
        <v>7</v>
      </c>
      <c r="G346">
        <v>6</v>
      </c>
      <c r="H346">
        <v>1</v>
      </c>
      <c r="I346">
        <v>19</v>
      </c>
      <c r="J346">
        <f>VLOOKUP(B346,'Quotazioni calciatori'!N:N,1,FALSE)</f>
        <v>7620</v>
      </c>
    </row>
    <row r="347" spans="1:10" x14ac:dyDescent="0.35">
      <c r="A347" t="str">
        <f t="shared" si="5"/>
        <v>ZiolkowskiMonza</v>
      </c>
      <c r="B347">
        <v>7260</v>
      </c>
      <c r="C347" t="s">
        <v>92</v>
      </c>
      <c r="D347" t="s">
        <v>273</v>
      </c>
      <c r="E347" t="s">
        <v>51</v>
      </c>
      <c r="F347">
        <v>1</v>
      </c>
      <c r="G347">
        <v>1</v>
      </c>
      <c r="H347">
        <v>0</v>
      </c>
      <c r="I347">
        <v>7</v>
      </c>
      <c r="J347">
        <f>VLOOKUP(B347,'Quotazioni calciatori'!N:N,1,FALSE)</f>
        <v>7260</v>
      </c>
    </row>
    <row r="348" spans="1:10" x14ac:dyDescent="0.35">
      <c r="A348" t="str">
        <f t="shared" si="5"/>
        <v>BadiashileNapoli</v>
      </c>
      <c r="B348">
        <v>4664</v>
      </c>
      <c r="C348" t="s">
        <v>92</v>
      </c>
      <c r="D348" t="s">
        <v>173</v>
      </c>
      <c r="E348" t="s">
        <v>32</v>
      </c>
      <c r="F348">
        <v>6</v>
      </c>
      <c r="G348">
        <v>7</v>
      </c>
      <c r="H348">
        <v>-1</v>
      </c>
      <c r="I348">
        <v>8</v>
      </c>
      <c r="J348">
        <f>VLOOKUP(B348,'Quotazioni calciatori'!N:N,1,FALSE)</f>
        <v>4664</v>
      </c>
    </row>
    <row r="349" spans="1:10" x14ac:dyDescent="0.35">
      <c r="A349" t="str">
        <f t="shared" si="5"/>
        <v>BeukemaNapoli</v>
      </c>
      <c r="B349">
        <v>6202</v>
      </c>
      <c r="C349" t="s">
        <v>92</v>
      </c>
      <c r="D349" t="s">
        <v>212</v>
      </c>
      <c r="E349" t="s">
        <v>32</v>
      </c>
      <c r="F349">
        <v>4</v>
      </c>
      <c r="G349">
        <v>6</v>
      </c>
      <c r="H349">
        <v>-2</v>
      </c>
      <c r="I349">
        <v>7</v>
      </c>
      <c r="J349">
        <f>VLOOKUP(B349,'Quotazioni calciatori'!N:N,1,FALSE)</f>
        <v>6202</v>
      </c>
    </row>
    <row r="350" spans="1:10" x14ac:dyDescent="0.35">
      <c r="A350" t="str">
        <f t="shared" si="5"/>
        <v>BuongiornoNapoli</v>
      </c>
      <c r="B350">
        <v>2724</v>
      </c>
      <c r="C350" t="s">
        <v>92</v>
      </c>
      <c r="D350" t="s">
        <v>192</v>
      </c>
      <c r="E350" t="s">
        <v>32</v>
      </c>
      <c r="F350">
        <v>5</v>
      </c>
      <c r="G350">
        <v>7</v>
      </c>
      <c r="H350">
        <v>-2</v>
      </c>
      <c r="I350">
        <v>10</v>
      </c>
      <c r="J350">
        <f>VLOOKUP(B350,'Quotazioni calciatori'!N:N,1,FALSE)</f>
        <v>2724</v>
      </c>
    </row>
    <row r="351" spans="1:10" x14ac:dyDescent="0.35">
      <c r="A351" t="str">
        <f t="shared" si="5"/>
        <v>ContiniNapoli</v>
      </c>
      <c r="B351">
        <v>2845</v>
      </c>
      <c r="C351" t="s">
        <v>8</v>
      </c>
      <c r="D351" t="s">
        <v>72</v>
      </c>
      <c r="E351" t="s">
        <v>32</v>
      </c>
      <c r="F351">
        <v>1</v>
      </c>
      <c r="G351">
        <v>1</v>
      </c>
      <c r="H351">
        <v>0</v>
      </c>
      <c r="I351">
        <v>1</v>
      </c>
      <c r="J351">
        <f>VLOOKUP(B351,'Quotazioni calciatori'!N:N,1,FALSE)</f>
        <v>2845</v>
      </c>
    </row>
    <row r="352" spans="1:10" x14ac:dyDescent="0.35">
      <c r="A352" t="str">
        <f t="shared" si="5"/>
        <v>De BruyneNapoli</v>
      </c>
      <c r="B352">
        <v>2517</v>
      </c>
      <c r="C352" t="s">
        <v>283</v>
      </c>
      <c r="D352" t="s">
        <v>295</v>
      </c>
      <c r="E352" t="s">
        <v>32</v>
      </c>
      <c r="F352">
        <v>17</v>
      </c>
      <c r="G352">
        <v>15</v>
      </c>
      <c r="H352">
        <v>2</v>
      </c>
      <c r="I352">
        <v>90</v>
      </c>
      <c r="J352">
        <f>VLOOKUP(B352,'Quotazioni calciatori'!N:N,1,FALSE)</f>
        <v>2517</v>
      </c>
    </row>
    <row r="353" spans="1:10" x14ac:dyDescent="0.35">
      <c r="A353" t="str">
        <f t="shared" si="5"/>
        <v>Di LorenzoNapoli</v>
      </c>
      <c r="B353">
        <v>2816</v>
      </c>
      <c r="C353" t="s">
        <v>92</v>
      </c>
      <c r="D353" t="s">
        <v>106</v>
      </c>
      <c r="E353" t="s">
        <v>32</v>
      </c>
      <c r="F353">
        <v>12</v>
      </c>
      <c r="G353">
        <v>12</v>
      </c>
      <c r="H353">
        <v>0</v>
      </c>
      <c r="I353">
        <v>37</v>
      </c>
      <c r="J353">
        <f>VLOOKUP(B353,'Quotazioni calciatori'!N:N,1,FALSE)</f>
        <v>2816</v>
      </c>
    </row>
    <row r="354" spans="1:10" x14ac:dyDescent="0.35">
      <c r="A354" t="str">
        <f t="shared" si="5"/>
        <v>FavasuliNapoli</v>
      </c>
      <c r="B354">
        <v>7563</v>
      </c>
      <c r="C354" t="s">
        <v>92</v>
      </c>
      <c r="D354" t="s">
        <v>171</v>
      </c>
      <c r="E354" t="s">
        <v>32</v>
      </c>
      <c r="F354">
        <v>6</v>
      </c>
      <c r="G354">
        <v>4</v>
      </c>
      <c r="H354">
        <v>2</v>
      </c>
      <c r="I354">
        <v>16</v>
      </c>
      <c r="J354">
        <f>VLOOKUP(B354,'Quotazioni calciatori'!N:N,1,FALSE)</f>
        <v>7563</v>
      </c>
    </row>
    <row r="355" spans="1:10" x14ac:dyDescent="0.35">
      <c r="A355" t="str">
        <f t="shared" si="5"/>
        <v>GilmourNapoli</v>
      </c>
      <c r="B355">
        <v>5131</v>
      </c>
      <c r="C355" t="s">
        <v>283</v>
      </c>
      <c r="D355" t="s">
        <v>383</v>
      </c>
      <c r="E355" t="s">
        <v>32</v>
      </c>
      <c r="F355">
        <v>6</v>
      </c>
      <c r="G355">
        <v>3</v>
      </c>
      <c r="H355">
        <v>3</v>
      </c>
      <c r="I355">
        <v>10</v>
      </c>
      <c r="J355">
        <f>VLOOKUP(B355,'Quotazioni calciatori'!N:N,1,FALSE)</f>
        <v>5131</v>
      </c>
    </row>
    <row r="356" spans="1:10" x14ac:dyDescent="0.35">
      <c r="A356" t="str">
        <f t="shared" si="5"/>
        <v>GiovaneNapoli</v>
      </c>
      <c r="B356">
        <v>7162</v>
      </c>
      <c r="C356" t="s">
        <v>478</v>
      </c>
      <c r="D356" t="s">
        <v>554</v>
      </c>
      <c r="E356" t="s">
        <v>32</v>
      </c>
      <c r="F356">
        <v>3</v>
      </c>
      <c r="G356">
        <v>4</v>
      </c>
      <c r="H356">
        <v>-1</v>
      </c>
      <c r="I356">
        <v>1</v>
      </c>
      <c r="J356">
        <f>VLOOKUP(B356,'Quotazioni calciatori'!N:N,1,FALSE)</f>
        <v>7162</v>
      </c>
    </row>
    <row r="357" spans="1:10" x14ac:dyDescent="0.35">
      <c r="A357" t="str">
        <f t="shared" si="5"/>
        <v>HojlundNapoli</v>
      </c>
      <c r="B357">
        <v>6052</v>
      </c>
      <c r="C357" t="s">
        <v>478</v>
      </c>
      <c r="D357" t="s">
        <v>482</v>
      </c>
      <c r="E357" t="s">
        <v>32</v>
      </c>
      <c r="F357">
        <v>27</v>
      </c>
      <c r="G357">
        <v>28</v>
      </c>
      <c r="H357">
        <v>-1</v>
      </c>
      <c r="I357">
        <v>240</v>
      </c>
      <c r="J357">
        <f>VLOOKUP(B357,'Quotazioni calciatori'!N:N,1,FALSE)</f>
        <v>6052</v>
      </c>
    </row>
    <row r="358" spans="1:10" x14ac:dyDescent="0.35">
      <c r="A358" t="str">
        <f t="shared" si="5"/>
        <v>LangNapoli</v>
      </c>
      <c r="B358">
        <v>7120</v>
      </c>
      <c r="C358" t="s">
        <v>478</v>
      </c>
      <c r="D358" t="s">
        <v>547</v>
      </c>
      <c r="E358" t="s">
        <v>32</v>
      </c>
      <c r="F358">
        <v>4</v>
      </c>
      <c r="G358">
        <v>3</v>
      </c>
      <c r="H358">
        <v>1</v>
      </c>
      <c r="I358">
        <v>12</v>
      </c>
      <c r="J358">
        <f>VLOOKUP(B358,'Quotazioni calciatori'!N:N,1,FALSE)</f>
        <v>7120</v>
      </c>
    </row>
    <row r="359" spans="1:10" x14ac:dyDescent="0.35">
      <c r="A359" t="str">
        <f t="shared" si="5"/>
        <v>LobotkaNapoli</v>
      </c>
      <c r="B359">
        <v>4287</v>
      </c>
      <c r="C359" t="s">
        <v>283</v>
      </c>
      <c r="D359" t="s">
        <v>322</v>
      </c>
      <c r="E359" t="s">
        <v>32</v>
      </c>
      <c r="F359">
        <v>11</v>
      </c>
      <c r="G359">
        <v>7</v>
      </c>
      <c r="H359">
        <v>4</v>
      </c>
      <c r="I359">
        <v>28</v>
      </c>
      <c r="J359">
        <f>VLOOKUP(B359,'Quotazioni calciatori'!N:N,1,FALSE)</f>
        <v>4287</v>
      </c>
    </row>
    <row r="360" spans="1:10" x14ac:dyDescent="0.35">
      <c r="A360" t="str">
        <f t="shared" si="5"/>
        <v>LuccaNapoli</v>
      </c>
      <c r="B360">
        <v>6215</v>
      </c>
      <c r="C360" t="s">
        <v>478</v>
      </c>
      <c r="D360" t="s">
        <v>555</v>
      </c>
      <c r="E360" t="s">
        <v>32</v>
      </c>
      <c r="F360">
        <v>3</v>
      </c>
      <c r="G360">
        <v>3</v>
      </c>
      <c r="H360">
        <v>0</v>
      </c>
      <c r="I360">
        <v>11</v>
      </c>
      <c r="J360">
        <f>VLOOKUP(B360,'Quotazioni calciatori'!N:N,1,FALSE)</f>
        <v>6215</v>
      </c>
    </row>
    <row r="361" spans="1:10" x14ac:dyDescent="0.35">
      <c r="A361" t="str">
        <f t="shared" si="5"/>
        <v>MarianucciNapoli</v>
      </c>
      <c r="B361">
        <v>6809</v>
      </c>
      <c r="C361" t="s">
        <v>92</v>
      </c>
      <c r="D361" t="s">
        <v>269</v>
      </c>
      <c r="E361" t="s">
        <v>32</v>
      </c>
      <c r="F361">
        <v>1</v>
      </c>
      <c r="G361">
        <v>1</v>
      </c>
      <c r="H361">
        <v>0</v>
      </c>
      <c r="I361">
        <v>3</v>
      </c>
      <c r="J361">
        <f>VLOOKUP(B361,'Quotazioni calciatori'!N:N,1,FALSE)</f>
        <v>6809</v>
      </c>
    </row>
    <row r="362" spans="1:10" x14ac:dyDescent="0.35">
      <c r="A362" t="str">
        <f t="shared" si="5"/>
        <v>Marin R.Napoli</v>
      </c>
      <c r="B362">
        <v>6638</v>
      </c>
      <c r="C362" t="s">
        <v>92</v>
      </c>
      <c r="D362" t="s">
        <v>246</v>
      </c>
      <c r="E362" t="s">
        <v>32</v>
      </c>
      <c r="F362">
        <v>2</v>
      </c>
      <c r="G362">
        <v>2</v>
      </c>
      <c r="H362">
        <v>0</v>
      </c>
      <c r="I362">
        <v>13</v>
      </c>
      <c r="J362">
        <f>VLOOKUP(B362,'Quotazioni calciatori'!N:N,1,FALSE)</f>
        <v>6638</v>
      </c>
    </row>
    <row r="363" spans="1:10" x14ac:dyDescent="0.35">
      <c r="A363" t="str">
        <f t="shared" si="5"/>
        <v>McTominayNapoli</v>
      </c>
      <c r="B363">
        <v>4777</v>
      </c>
      <c r="C363" t="s">
        <v>283</v>
      </c>
      <c r="D363" t="s">
        <v>288</v>
      </c>
      <c r="E363" t="s">
        <v>32</v>
      </c>
      <c r="F363">
        <v>24</v>
      </c>
      <c r="G363">
        <v>28</v>
      </c>
      <c r="H363">
        <v>-4</v>
      </c>
      <c r="I363">
        <v>120</v>
      </c>
      <c r="J363">
        <f>VLOOKUP(B363,'Quotazioni calciatori'!N:N,1,FALSE)</f>
        <v>4777</v>
      </c>
    </row>
    <row r="364" spans="1:10" x14ac:dyDescent="0.35">
      <c r="A364" t="str">
        <f t="shared" si="5"/>
        <v>MeretNapoli</v>
      </c>
      <c r="B364">
        <v>572</v>
      </c>
      <c r="C364" t="s">
        <v>8</v>
      </c>
      <c r="D364" t="s">
        <v>31</v>
      </c>
      <c r="E364" t="s">
        <v>32</v>
      </c>
      <c r="F364">
        <v>9</v>
      </c>
      <c r="G364">
        <v>11</v>
      </c>
      <c r="H364">
        <v>-2</v>
      </c>
      <c r="I364">
        <v>40</v>
      </c>
      <c r="J364">
        <f>VLOOKUP(B364,'Quotazioni calciatori'!N:N,1,FALSE)</f>
        <v>572</v>
      </c>
    </row>
    <row r="365" spans="1:10" x14ac:dyDescent="0.35">
      <c r="A365" t="str">
        <f t="shared" si="5"/>
        <v>Milinkovic-Savic V.Napoli</v>
      </c>
      <c r="B365">
        <v>2170</v>
      </c>
      <c r="C365" t="s">
        <v>8</v>
      </c>
      <c r="D365" t="s">
        <v>40</v>
      </c>
      <c r="E365" t="s">
        <v>32</v>
      </c>
      <c r="F365">
        <v>7</v>
      </c>
      <c r="G365">
        <v>5</v>
      </c>
      <c r="H365">
        <v>2</v>
      </c>
      <c r="I365">
        <v>13</v>
      </c>
      <c r="J365">
        <f>VLOOKUP(B365,'Quotazioni calciatori'!N:N,1,FALSE)</f>
        <v>2170</v>
      </c>
    </row>
    <row r="366" spans="1:10" x14ac:dyDescent="0.35">
      <c r="A366" t="str">
        <f t="shared" si="5"/>
        <v>NeresNapoli</v>
      </c>
      <c r="B366">
        <v>6831</v>
      </c>
      <c r="C366" t="s">
        <v>478</v>
      </c>
      <c r="D366" t="s">
        <v>540</v>
      </c>
      <c r="E366" t="s">
        <v>32</v>
      </c>
      <c r="F366">
        <v>5</v>
      </c>
      <c r="G366">
        <v>6</v>
      </c>
      <c r="H366">
        <v>-1</v>
      </c>
      <c r="I366">
        <v>17</v>
      </c>
      <c r="J366">
        <f>VLOOKUP(B366,'Quotazioni calciatori'!N:N,1,FALSE)</f>
        <v>6831</v>
      </c>
    </row>
    <row r="367" spans="1:10" x14ac:dyDescent="0.35">
      <c r="A367" t="str">
        <f t="shared" si="5"/>
        <v>OliveraNapoli</v>
      </c>
      <c r="B367">
        <v>5840</v>
      </c>
      <c r="C367" t="s">
        <v>92</v>
      </c>
      <c r="D367" t="s">
        <v>213</v>
      </c>
      <c r="E367" t="s">
        <v>32</v>
      </c>
      <c r="F367">
        <v>4</v>
      </c>
      <c r="G367">
        <v>5</v>
      </c>
      <c r="H367">
        <v>-1</v>
      </c>
      <c r="I367">
        <v>10</v>
      </c>
      <c r="J367">
        <f>VLOOKUP(B367,'Quotazioni calciatori'!N:N,1,FALSE)</f>
        <v>5840</v>
      </c>
    </row>
    <row r="368" spans="1:10" x14ac:dyDescent="0.35">
      <c r="A368" t="str">
        <f t="shared" si="5"/>
        <v>PolitanoNapoli</v>
      </c>
      <c r="B368">
        <v>536</v>
      </c>
      <c r="C368" t="s">
        <v>283</v>
      </c>
      <c r="D368" t="s">
        <v>323</v>
      </c>
      <c r="E368" t="s">
        <v>32</v>
      </c>
      <c r="F368">
        <v>11</v>
      </c>
      <c r="G368">
        <v>10</v>
      </c>
      <c r="H368">
        <v>1</v>
      </c>
      <c r="I368">
        <v>42</v>
      </c>
      <c r="J368">
        <f>VLOOKUP(B368,'Quotazioni calciatori'!N:N,1,FALSE)</f>
        <v>536</v>
      </c>
    </row>
    <row r="369" spans="1:10" x14ac:dyDescent="0.35">
      <c r="A369" t="str">
        <f t="shared" si="5"/>
        <v>RrahmaniNapoli</v>
      </c>
      <c r="B369">
        <v>4409</v>
      </c>
      <c r="C369" t="s">
        <v>92</v>
      </c>
      <c r="D369" t="s">
        <v>97</v>
      </c>
      <c r="E369" t="s">
        <v>32</v>
      </c>
      <c r="F369">
        <v>15</v>
      </c>
      <c r="G369">
        <v>14</v>
      </c>
      <c r="H369">
        <v>1</v>
      </c>
      <c r="I369">
        <v>53</v>
      </c>
      <c r="J369">
        <f>VLOOKUP(B369,'Quotazioni calciatori'!N:N,1,FALSE)</f>
        <v>4409</v>
      </c>
    </row>
    <row r="370" spans="1:10" x14ac:dyDescent="0.35">
      <c r="A370" t="str">
        <f t="shared" si="5"/>
        <v>Santos A.Napoli</v>
      </c>
      <c r="B370">
        <v>7351</v>
      </c>
      <c r="C370" t="s">
        <v>478</v>
      </c>
      <c r="D370" t="s">
        <v>503</v>
      </c>
      <c r="E370" t="s">
        <v>32</v>
      </c>
      <c r="F370">
        <v>13</v>
      </c>
      <c r="G370">
        <v>14</v>
      </c>
      <c r="H370">
        <v>-1</v>
      </c>
      <c r="I370">
        <v>37</v>
      </c>
      <c r="J370">
        <f>VLOOKUP(B370,'Quotazioni calciatori'!N:N,1,FALSE)</f>
        <v>7351</v>
      </c>
    </row>
    <row r="371" spans="1:10" x14ac:dyDescent="0.35">
      <c r="A371" t="str">
        <f t="shared" si="5"/>
        <v>SpinazzolaNapoli</v>
      </c>
      <c r="B371">
        <v>1852</v>
      </c>
      <c r="C371" t="s">
        <v>92</v>
      </c>
      <c r="D371" t="s">
        <v>137</v>
      </c>
      <c r="E371" t="s">
        <v>32</v>
      </c>
      <c r="F371">
        <v>8</v>
      </c>
      <c r="G371">
        <v>8</v>
      </c>
      <c r="H371">
        <v>0</v>
      </c>
      <c r="I371">
        <v>21</v>
      </c>
      <c r="J371">
        <f>VLOOKUP(B371,'Quotazioni calciatori'!N:N,1,FALSE)</f>
        <v>1852</v>
      </c>
    </row>
    <row r="372" spans="1:10" x14ac:dyDescent="0.35">
      <c r="A372" t="str">
        <f t="shared" si="5"/>
        <v>VergaraNapoli</v>
      </c>
      <c r="B372">
        <v>7223</v>
      </c>
      <c r="C372" t="s">
        <v>283</v>
      </c>
      <c r="D372" t="s">
        <v>339</v>
      </c>
      <c r="E372" t="s">
        <v>32</v>
      </c>
      <c r="F372">
        <v>9</v>
      </c>
      <c r="G372">
        <v>8</v>
      </c>
      <c r="H372">
        <v>1</v>
      </c>
      <c r="I372">
        <v>25</v>
      </c>
      <c r="J372">
        <f>VLOOKUP(B372,'Quotazioni calciatori'!N:N,1,FALSE)</f>
        <v>7223</v>
      </c>
    </row>
    <row r="373" spans="1:10" x14ac:dyDescent="0.35">
      <c r="A373" t="str">
        <f t="shared" si="5"/>
        <v>Zambo AnguissaNapoli</v>
      </c>
      <c r="B373">
        <v>4220</v>
      </c>
      <c r="C373" t="s">
        <v>283</v>
      </c>
      <c r="D373" t="s">
        <v>338</v>
      </c>
      <c r="E373" t="s">
        <v>32</v>
      </c>
      <c r="F373">
        <v>9</v>
      </c>
      <c r="G373">
        <v>11</v>
      </c>
      <c r="H373">
        <v>-2</v>
      </c>
      <c r="I373">
        <v>27</v>
      </c>
      <c r="J373">
        <f>VLOOKUP(B373,'Quotazioni calciatori'!N:N,1,FALSE)</f>
        <v>4220</v>
      </c>
    </row>
    <row r="374" spans="1:10" x14ac:dyDescent="0.35">
      <c r="A374" t="str">
        <f t="shared" si="5"/>
        <v>AlmqvistParma</v>
      </c>
      <c r="B374">
        <v>6207</v>
      </c>
      <c r="C374" t="s">
        <v>283</v>
      </c>
      <c r="D374" t="s">
        <v>357</v>
      </c>
      <c r="E374" t="s">
        <v>44</v>
      </c>
      <c r="F374">
        <v>8</v>
      </c>
      <c r="G374">
        <v>4</v>
      </c>
      <c r="H374">
        <v>4</v>
      </c>
      <c r="I374">
        <v>12</v>
      </c>
      <c r="J374">
        <f>VLOOKUP(B374,'Quotazioni calciatori'!N:N,1,FALSE)</f>
        <v>6207</v>
      </c>
    </row>
    <row r="375" spans="1:10" x14ac:dyDescent="0.35">
      <c r="A375" t="str">
        <f t="shared" si="5"/>
        <v>BernabèParma</v>
      </c>
      <c r="B375">
        <v>6666</v>
      </c>
      <c r="C375" t="s">
        <v>283</v>
      </c>
      <c r="D375" t="s">
        <v>385</v>
      </c>
      <c r="E375" t="s">
        <v>44</v>
      </c>
      <c r="F375">
        <v>6</v>
      </c>
      <c r="G375">
        <v>7</v>
      </c>
      <c r="H375">
        <v>-1</v>
      </c>
      <c r="I375">
        <v>27</v>
      </c>
      <c r="J375">
        <f>VLOOKUP(B375,'Quotazioni calciatori'!N:N,1,FALSE)</f>
        <v>6666</v>
      </c>
    </row>
    <row r="376" spans="1:10" x14ac:dyDescent="0.35">
      <c r="A376" t="str">
        <f t="shared" si="5"/>
        <v>BritschgiParma</v>
      </c>
      <c r="B376">
        <v>7255</v>
      </c>
      <c r="C376" t="s">
        <v>92</v>
      </c>
      <c r="D376" t="s">
        <v>215</v>
      </c>
      <c r="E376" t="s">
        <v>44</v>
      </c>
      <c r="F376">
        <v>4</v>
      </c>
      <c r="G376">
        <v>3</v>
      </c>
      <c r="H376">
        <v>1</v>
      </c>
      <c r="I376">
        <v>12</v>
      </c>
      <c r="J376">
        <f>VLOOKUP(B376,'Quotazioni calciatori'!N:N,1,FALSE)</f>
        <v>7255</v>
      </c>
    </row>
    <row r="377" spans="1:10" x14ac:dyDescent="0.35">
      <c r="A377" t="str">
        <f t="shared" si="5"/>
        <v>Carboni F.Parma</v>
      </c>
      <c r="B377">
        <v>6149</v>
      </c>
      <c r="C377" t="s">
        <v>92</v>
      </c>
      <c r="D377" t="s">
        <v>272</v>
      </c>
      <c r="E377" t="s">
        <v>44</v>
      </c>
      <c r="F377">
        <v>1</v>
      </c>
      <c r="G377">
        <v>1</v>
      </c>
      <c r="H377">
        <v>0</v>
      </c>
      <c r="I377">
        <v>3</v>
      </c>
      <c r="J377">
        <f>VLOOKUP(B377,'Quotazioni calciatori'!N:N,1,FALSE)</f>
        <v>6149</v>
      </c>
    </row>
    <row r="378" spans="1:10" x14ac:dyDescent="0.35">
      <c r="A378" t="str">
        <f t="shared" si="5"/>
        <v>CorviParma</v>
      </c>
      <c r="B378">
        <v>6662</v>
      </c>
      <c r="C378" t="s">
        <v>8</v>
      </c>
      <c r="D378" t="s">
        <v>49</v>
      </c>
      <c r="E378" t="s">
        <v>44</v>
      </c>
      <c r="F378">
        <v>4</v>
      </c>
      <c r="G378">
        <v>1</v>
      </c>
      <c r="H378">
        <v>3</v>
      </c>
      <c r="I378">
        <v>10</v>
      </c>
      <c r="J378">
        <f>VLOOKUP(B378,'Quotazioni calciatori'!N:N,1,FALSE)</f>
        <v>6662</v>
      </c>
    </row>
    <row r="379" spans="1:10" x14ac:dyDescent="0.35">
      <c r="A379" t="str">
        <f t="shared" si="5"/>
        <v>CremaschiParma</v>
      </c>
      <c r="B379">
        <v>7276</v>
      </c>
      <c r="C379" t="s">
        <v>283</v>
      </c>
      <c r="D379" t="s">
        <v>453</v>
      </c>
      <c r="E379" t="s">
        <v>44</v>
      </c>
      <c r="F379">
        <v>2</v>
      </c>
      <c r="G379">
        <v>1</v>
      </c>
      <c r="H379">
        <v>1</v>
      </c>
      <c r="I379">
        <v>3</v>
      </c>
      <c r="J379">
        <f>VLOOKUP(B379,'Quotazioni calciatori'!N:N,1,FALSE)</f>
        <v>7276</v>
      </c>
    </row>
    <row r="380" spans="1:10" x14ac:dyDescent="0.35">
      <c r="A380" t="str">
        <f t="shared" si="5"/>
        <v>DaffaraParma</v>
      </c>
      <c r="B380">
        <v>7411</v>
      </c>
      <c r="C380" t="s">
        <v>8</v>
      </c>
      <c r="D380" t="s">
        <v>43</v>
      </c>
      <c r="E380" t="s">
        <v>44</v>
      </c>
      <c r="F380">
        <v>5</v>
      </c>
      <c r="G380">
        <v>7</v>
      </c>
      <c r="H380">
        <v>-2</v>
      </c>
      <c r="I380">
        <v>2</v>
      </c>
      <c r="J380">
        <f>VLOOKUP(B380,'Quotazioni calciatori'!N:N,1,FALSE)</f>
        <v>7411</v>
      </c>
    </row>
    <row r="381" spans="1:10" x14ac:dyDescent="0.35">
      <c r="A381" t="str">
        <f t="shared" si="5"/>
        <v>De MartisParma</v>
      </c>
      <c r="B381">
        <v>7568</v>
      </c>
      <c r="C381" t="s">
        <v>478</v>
      </c>
      <c r="D381" t="s">
        <v>563</v>
      </c>
      <c r="E381" t="s">
        <v>44</v>
      </c>
      <c r="F381">
        <v>1</v>
      </c>
      <c r="G381">
        <v>1</v>
      </c>
      <c r="H381">
        <v>0</v>
      </c>
      <c r="I381">
        <v>1</v>
      </c>
      <c r="J381">
        <f>VLOOKUP(B381,'Quotazioni calciatori'!N:N,1,FALSE)</f>
        <v>7568</v>
      </c>
    </row>
    <row r="382" spans="1:10" x14ac:dyDescent="0.35">
      <c r="A382" t="str">
        <f t="shared" si="5"/>
        <v>DelpratoParma</v>
      </c>
      <c r="B382">
        <v>6664</v>
      </c>
      <c r="C382" t="s">
        <v>92</v>
      </c>
      <c r="D382" t="s">
        <v>138</v>
      </c>
      <c r="E382" t="s">
        <v>44</v>
      </c>
      <c r="F382">
        <v>8</v>
      </c>
      <c r="G382">
        <v>8</v>
      </c>
      <c r="H382">
        <v>0</v>
      </c>
      <c r="I382">
        <v>21</v>
      </c>
      <c r="J382">
        <f>VLOOKUP(B382,'Quotazioni calciatori'!N:N,1,FALSE)</f>
        <v>6664</v>
      </c>
    </row>
    <row r="383" spans="1:10" x14ac:dyDescent="0.35">
      <c r="A383" t="str">
        <f t="shared" si="5"/>
        <v>Diallo O.Parma</v>
      </c>
      <c r="B383">
        <v>7536</v>
      </c>
      <c r="C383" t="s">
        <v>283</v>
      </c>
      <c r="D383" t="s">
        <v>442</v>
      </c>
      <c r="E383" t="s">
        <v>44</v>
      </c>
      <c r="F383">
        <v>3</v>
      </c>
      <c r="G383">
        <v>3</v>
      </c>
      <c r="H383">
        <v>0</v>
      </c>
      <c r="I383">
        <v>8</v>
      </c>
      <c r="J383" t="e">
        <f>VLOOKUP(B383,'Quotazioni calciatori'!N:N,1,FALSE)</f>
        <v>#N/A</v>
      </c>
    </row>
    <row r="384" spans="1:10" x14ac:dyDescent="0.35">
      <c r="A384" t="str">
        <f t="shared" si="5"/>
        <v>Diego CarlosParma</v>
      </c>
      <c r="B384">
        <v>4137</v>
      </c>
      <c r="C384" t="s">
        <v>92</v>
      </c>
      <c r="D384" t="s">
        <v>147</v>
      </c>
      <c r="E384" t="s">
        <v>44</v>
      </c>
      <c r="F384">
        <v>8</v>
      </c>
      <c r="G384">
        <v>8</v>
      </c>
      <c r="H384">
        <v>0</v>
      </c>
      <c r="I384">
        <v>16</v>
      </c>
      <c r="J384">
        <f>VLOOKUP(B384,'Quotazioni calciatori'!N:N,1,FALSE)</f>
        <v>4137</v>
      </c>
    </row>
    <row r="385" spans="1:10" x14ac:dyDescent="0.35">
      <c r="A385" t="str">
        <f t="shared" si="5"/>
        <v>DrobnicParma</v>
      </c>
      <c r="B385">
        <v>7615</v>
      </c>
      <c r="C385" t="s">
        <v>92</v>
      </c>
      <c r="D385" t="s">
        <v>255</v>
      </c>
      <c r="E385" t="s">
        <v>44</v>
      </c>
      <c r="F385">
        <v>2</v>
      </c>
      <c r="G385">
        <v>1</v>
      </c>
      <c r="H385">
        <v>1</v>
      </c>
      <c r="I385">
        <v>1</v>
      </c>
      <c r="J385">
        <f>VLOOKUP(B385,'Quotazioni calciatori'!N:N,1,FALSE)</f>
        <v>7615</v>
      </c>
    </row>
    <row r="386" spans="1:10" x14ac:dyDescent="0.35">
      <c r="A386" t="str">
        <f t="shared" ref="A386:A449" si="6">CONCATENATE(D386,E386)</f>
        <v>ElphegeParma</v>
      </c>
      <c r="B386">
        <v>7342</v>
      </c>
      <c r="C386" t="s">
        <v>478</v>
      </c>
      <c r="D386" t="s">
        <v>541</v>
      </c>
      <c r="E386" t="s">
        <v>44</v>
      </c>
      <c r="F386">
        <v>5</v>
      </c>
      <c r="G386">
        <v>3</v>
      </c>
      <c r="H386">
        <v>2</v>
      </c>
      <c r="I386">
        <v>10</v>
      </c>
      <c r="J386">
        <f>VLOOKUP(B386,'Quotazioni calciatori'!N:N,1,FALSE)</f>
        <v>7342</v>
      </c>
    </row>
    <row r="387" spans="1:10" x14ac:dyDescent="0.35">
      <c r="A387" t="str">
        <f t="shared" si="6"/>
        <v>FabbianParma</v>
      </c>
      <c r="B387">
        <v>6206</v>
      </c>
      <c r="C387" t="s">
        <v>283</v>
      </c>
      <c r="D387" t="s">
        <v>413</v>
      </c>
      <c r="E387" t="s">
        <v>44</v>
      </c>
      <c r="F387">
        <v>4</v>
      </c>
      <c r="G387">
        <v>4</v>
      </c>
      <c r="H387">
        <v>0</v>
      </c>
      <c r="I387">
        <v>12</v>
      </c>
      <c r="J387">
        <f>VLOOKUP(B387,'Quotazioni calciatori'!N:N,1,FALSE)</f>
        <v>6206</v>
      </c>
    </row>
    <row r="388" spans="1:10" x14ac:dyDescent="0.35">
      <c r="A388" t="str">
        <f t="shared" si="6"/>
        <v>FriganParma</v>
      </c>
      <c r="B388">
        <v>7213</v>
      </c>
      <c r="C388" t="s">
        <v>478</v>
      </c>
      <c r="D388" t="s">
        <v>548</v>
      </c>
      <c r="E388" t="s">
        <v>44</v>
      </c>
      <c r="F388">
        <v>4</v>
      </c>
      <c r="G388">
        <v>5</v>
      </c>
      <c r="H388">
        <v>-1</v>
      </c>
      <c r="I388">
        <v>5</v>
      </c>
      <c r="J388">
        <f>VLOOKUP(B388,'Quotazioni calciatori'!N:N,1,FALSE)</f>
        <v>7213</v>
      </c>
    </row>
    <row r="389" spans="1:10" x14ac:dyDescent="0.35">
      <c r="A389" t="str">
        <f t="shared" si="6"/>
        <v>GhidottiParma</v>
      </c>
      <c r="B389">
        <v>2874</v>
      </c>
      <c r="C389" t="s">
        <v>8</v>
      </c>
      <c r="D389" t="s">
        <v>90</v>
      </c>
      <c r="E389" t="s">
        <v>44</v>
      </c>
      <c r="F389">
        <v>1</v>
      </c>
      <c r="G389">
        <v>1</v>
      </c>
      <c r="H389">
        <v>0</v>
      </c>
      <c r="I389">
        <v>1</v>
      </c>
      <c r="J389">
        <f>VLOOKUP(B389,'Quotazioni calciatori'!N:N,1,FALSE)</f>
        <v>2874</v>
      </c>
    </row>
    <row r="390" spans="1:10" x14ac:dyDescent="0.35">
      <c r="A390" t="str">
        <f t="shared" si="6"/>
        <v>Keita M.Parma</v>
      </c>
      <c r="B390">
        <v>6898</v>
      </c>
      <c r="C390" t="s">
        <v>283</v>
      </c>
      <c r="D390" t="s">
        <v>384</v>
      </c>
      <c r="E390" t="s">
        <v>44</v>
      </c>
      <c r="F390">
        <v>6</v>
      </c>
      <c r="G390">
        <v>5</v>
      </c>
      <c r="H390">
        <v>1</v>
      </c>
      <c r="I390">
        <v>16</v>
      </c>
      <c r="J390">
        <f>VLOOKUP(B390,'Quotazioni calciatori'!N:N,1,FALSE)</f>
        <v>6898</v>
      </c>
    </row>
    <row r="391" spans="1:10" x14ac:dyDescent="0.35">
      <c r="A391" t="str">
        <f t="shared" si="6"/>
        <v>LontaniParma</v>
      </c>
      <c r="B391">
        <v>7561</v>
      </c>
      <c r="C391" t="s">
        <v>478</v>
      </c>
      <c r="D391" t="s">
        <v>539</v>
      </c>
      <c r="E391" t="s">
        <v>44</v>
      </c>
      <c r="F391">
        <v>6</v>
      </c>
      <c r="G391">
        <v>1</v>
      </c>
      <c r="H391">
        <v>5</v>
      </c>
      <c r="I391">
        <v>15</v>
      </c>
      <c r="J391">
        <f>VLOOKUP(B391,'Quotazioni calciatori'!N:N,1,FALSE)</f>
        <v>7561</v>
      </c>
    </row>
    <row r="392" spans="1:10" x14ac:dyDescent="0.35">
      <c r="A392" t="str">
        <f t="shared" si="6"/>
        <v>NdiayeParma</v>
      </c>
      <c r="B392">
        <v>7202</v>
      </c>
      <c r="C392" t="s">
        <v>92</v>
      </c>
      <c r="D392" t="s">
        <v>271</v>
      </c>
      <c r="E392" t="s">
        <v>44</v>
      </c>
      <c r="F392">
        <v>1</v>
      </c>
      <c r="G392">
        <v>1</v>
      </c>
      <c r="H392">
        <v>0</v>
      </c>
      <c r="I392">
        <v>8</v>
      </c>
      <c r="J392">
        <f>VLOOKUP(B392,'Quotazioni calciatori'!N:N,1,FALSE)</f>
        <v>7202</v>
      </c>
    </row>
    <row r="393" spans="1:10" x14ac:dyDescent="0.35">
      <c r="A393" t="str">
        <f t="shared" si="6"/>
        <v>Nicolussi CavigliaParma</v>
      </c>
      <c r="B393">
        <v>4349</v>
      </c>
      <c r="C393" t="s">
        <v>283</v>
      </c>
      <c r="D393" t="s">
        <v>428</v>
      </c>
      <c r="E393" t="s">
        <v>44</v>
      </c>
      <c r="F393">
        <v>4</v>
      </c>
      <c r="G393">
        <v>6</v>
      </c>
      <c r="H393">
        <v>-2</v>
      </c>
      <c r="I393">
        <v>16</v>
      </c>
      <c r="J393">
        <f>VLOOKUP(B393,'Quotazioni calciatori'!N:N,1,FALSE)</f>
        <v>4349</v>
      </c>
    </row>
    <row r="394" spans="1:10" x14ac:dyDescent="0.35">
      <c r="A394" t="str">
        <f t="shared" si="6"/>
        <v>Ordonez C.Parma</v>
      </c>
      <c r="B394">
        <v>7138</v>
      </c>
      <c r="C394" t="s">
        <v>283</v>
      </c>
      <c r="D394" t="s">
        <v>441</v>
      </c>
      <c r="E394" t="s">
        <v>44</v>
      </c>
      <c r="F394">
        <v>3</v>
      </c>
      <c r="G394">
        <v>2</v>
      </c>
      <c r="H394">
        <v>1</v>
      </c>
      <c r="I394">
        <v>10</v>
      </c>
      <c r="J394">
        <f>VLOOKUP(B394,'Quotazioni calciatori'!N:N,1,FALSE)</f>
        <v>7138</v>
      </c>
    </row>
    <row r="395" spans="1:10" x14ac:dyDescent="0.35">
      <c r="A395" t="str">
        <f t="shared" si="6"/>
        <v>Romero D.Parma</v>
      </c>
      <c r="B395">
        <v>7554</v>
      </c>
      <c r="C395" t="s">
        <v>478</v>
      </c>
      <c r="D395" t="s">
        <v>506</v>
      </c>
      <c r="E395" t="s">
        <v>44</v>
      </c>
      <c r="F395">
        <v>13</v>
      </c>
      <c r="G395">
        <v>10</v>
      </c>
      <c r="H395">
        <v>3</v>
      </c>
      <c r="I395">
        <v>44</v>
      </c>
      <c r="J395">
        <f>VLOOKUP(B395,'Quotazioni calciatori'!N:N,1,FALSE)</f>
        <v>7554</v>
      </c>
    </row>
    <row r="396" spans="1:10" x14ac:dyDescent="0.35">
      <c r="A396" t="str">
        <f t="shared" si="6"/>
        <v>SierroParma</v>
      </c>
      <c r="B396">
        <v>7628</v>
      </c>
      <c r="C396" t="s">
        <v>283</v>
      </c>
      <c r="D396" t="s">
        <v>458</v>
      </c>
      <c r="E396" t="s">
        <v>44</v>
      </c>
      <c r="F396">
        <v>2</v>
      </c>
      <c r="G396">
        <v>1</v>
      </c>
      <c r="H396">
        <v>1</v>
      </c>
      <c r="I396">
        <v>10</v>
      </c>
      <c r="J396" t="e">
        <f>VLOOKUP(B396,'Quotazioni calciatori'!N:N,1,FALSE)</f>
        <v>#N/A</v>
      </c>
    </row>
    <row r="397" spans="1:10" x14ac:dyDescent="0.35">
      <c r="A397" t="str">
        <f t="shared" si="6"/>
        <v>Tourè E.Parma</v>
      </c>
      <c r="B397">
        <v>6229</v>
      </c>
      <c r="C397" t="s">
        <v>478</v>
      </c>
      <c r="D397" t="s">
        <v>519</v>
      </c>
      <c r="E397" t="s">
        <v>44</v>
      </c>
      <c r="F397">
        <v>10</v>
      </c>
      <c r="G397">
        <v>11</v>
      </c>
      <c r="H397">
        <v>-1</v>
      </c>
      <c r="I397">
        <v>31</v>
      </c>
      <c r="J397">
        <f>VLOOKUP(B397,'Quotazioni calciatori'!N:N,1,FALSE)</f>
        <v>6229</v>
      </c>
    </row>
    <row r="398" spans="1:10" x14ac:dyDescent="0.35">
      <c r="A398" t="str">
        <f t="shared" si="6"/>
        <v>TroiloParma</v>
      </c>
      <c r="B398">
        <v>7235</v>
      </c>
      <c r="C398" t="s">
        <v>92</v>
      </c>
      <c r="D398" t="s">
        <v>214</v>
      </c>
      <c r="E398" t="s">
        <v>44</v>
      </c>
      <c r="F398">
        <v>4</v>
      </c>
      <c r="G398">
        <v>3</v>
      </c>
      <c r="H398">
        <v>1</v>
      </c>
      <c r="I398">
        <v>14</v>
      </c>
      <c r="J398">
        <f>VLOOKUP(B398,'Quotazioni calciatori'!N:N,1,FALSE)</f>
        <v>7235</v>
      </c>
    </row>
    <row r="399" spans="1:10" x14ac:dyDescent="0.35">
      <c r="A399" t="str">
        <f t="shared" si="6"/>
        <v>ValentiParma</v>
      </c>
      <c r="B399">
        <v>5307</v>
      </c>
      <c r="C399" t="s">
        <v>92</v>
      </c>
      <c r="D399" t="s">
        <v>229</v>
      </c>
      <c r="E399" t="s">
        <v>44</v>
      </c>
      <c r="F399">
        <v>3</v>
      </c>
      <c r="G399">
        <v>4</v>
      </c>
      <c r="H399">
        <v>-1</v>
      </c>
      <c r="I399">
        <v>10</v>
      </c>
      <c r="J399">
        <f>VLOOKUP(B399,'Quotazioni calciatori'!N:N,1,FALSE)</f>
        <v>5307</v>
      </c>
    </row>
    <row r="400" spans="1:10" x14ac:dyDescent="0.35">
      <c r="A400" t="str">
        <f t="shared" si="6"/>
        <v>ValeriParma</v>
      </c>
      <c r="B400">
        <v>5862</v>
      </c>
      <c r="C400" t="s">
        <v>92</v>
      </c>
      <c r="D400" t="s">
        <v>126</v>
      </c>
      <c r="E400" t="s">
        <v>44</v>
      </c>
      <c r="F400">
        <v>9</v>
      </c>
      <c r="G400">
        <v>8</v>
      </c>
      <c r="H400">
        <v>1</v>
      </c>
      <c r="I400">
        <v>22</v>
      </c>
      <c r="J400">
        <f>VLOOKUP(B400,'Quotazioni calciatori'!N:N,1,FALSE)</f>
        <v>5862</v>
      </c>
    </row>
    <row r="401" spans="1:10" x14ac:dyDescent="0.35">
      <c r="A401" t="str">
        <f t="shared" si="6"/>
        <v>BalerdiRoma</v>
      </c>
      <c r="B401">
        <v>4705</v>
      </c>
      <c r="C401" t="s">
        <v>92</v>
      </c>
      <c r="D401" t="s">
        <v>146</v>
      </c>
      <c r="E401" t="s">
        <v>10</v>
      </c>
      <c r="F401">
        <v>8</v>
      </c>
      <c r="G401">
        <v>6</v>
      </c>
      <c r="H401">
        <v>2</v>
      </c>
      <c r="I401">
        <v>18</v>
      </c>
      <c r="J401">
        <f>VLOOKUP(B401,'Quotazioni calciatori'!N:N,1,FALSE)</f>
        <v>4705</v>
      </c>
    </row>
    <row r="402" spans="1:10" x14ac:dyDescent="0.35">
      <c r="A402" t="str">
        <f t="shared" si="6"/>
        <v>Castro S.Roma</v>
      </c>
      <c r="B402">
        <v>6572</v>
      </c>
      <c r="C402" t="s">
        <v>478</v>
      </c>
      <c r="D402" t="s">
        <v>504</v>
      </c>
      <c r="E402" t="s">
        <v>10</v>
      </c>
      <c r="F402">
        <v>13</v>
      </c>
      <c r="G402">
        <v>14</v>
      </c>
      <c r="H402">
        <v>-1</v>
      </c>
      <c r="I402">
        <v>40</v>
      </c>
      <c r="J402">
        <f>VLOOKUP(B402,'Quotazioni calciatori'!N:N,1,FALSE)</f>
        <v>6572</v>
      </c>
    </row>
    <row r="403" spans="1:10" x14ac:dyDescent="0.35">
      <c r="A403" t="str">
        <f t="shared" si="6"/>
        <v>CristanteRoma</v>
      </c>
      <c r="B403">
        <v>779</v>
      </c>
      <c r="C403" t="s">
        <v>283</v>
      </c>
      <c r="D403" t="s">
        <v>324</v>
      </c>
      <c r="E403" t="s">
        <v>10</v>
      </c>
      <c r="F403">
        <v>11</v>
      </c>
      <c r="G403">
        <v>8</v>
      </c>
      <c r="H403">
        <v>3</v>
      </c>
      <c r="I403">
        <v>31</v>
      </c>
      <c r="J403">
        <f>VLOOKUP(B403,'Quotazioni calciatori'!N:N,1,FALSE)</f>
        <v>779</v>
      </c>
    </row>
    <row r="404" spans="1:10" x14ac:dyDescent="0.35">
      <c r="A404" t="str">
        <f t="shared" si="6"/>
        <v>De MarziRoma</v>
      </c>
      <c r="B404">
        <v>7048</v>
      </c>
      <c r="C404" t="s">
        <v>8</v>
      </c>
      <c r="D404" t="s">
        <v>73</v>
      </c>
      <c r="E404" t="s">
        <v>10</v>
      </c>
      <c r="F404">
        <v>1</v>
      </c>
      <c r="G404">
        <v>1</v>
      </c>
      <c r="H404">
        <v>0</v>
      </c>
      <c r="I404">
        <v>1</v>
      </c>
      <c r="J404">
        <f>VLOOKUP(B404,'Quotazioni calciatori'!N:N,1,FALSE)</f>
        <v>7048</v>
      </c>
    </row>
    <row r="405" spans="1:10" x14ac:dyDescent="0.35">
      <c r="A405" t="str">
        <f t="shared" si="6"/>
        <v>De RoonRoma</v>
      </c>
      <c r="B405">
        <v>22</v>
      </c>
      <c r="C405" t="s">
        <v>283</v>
      </c>
      <c r="D405" t="s">
        <v>408</v>
      </c>
      <c r="E405" t="s">
        <v>10</v>
      </c>
      <c r="F405">
        <v>4</v>
      </c>
      <c r="G405">
        <v>4</v>
      </c>
      <c r="H405">
        <v>0</v>
      </c>
      <c r="I405">
        <v>10</v>
      </c>
      <c r="J405">
        <f>VLOOKUP(B405,'Quotazioni calciatori'!N:N,1,FALSE)</f>
        <v>22</v>
      </c>
    </row>
    <row r="406" spans="1:10" x14ac:dyDescent="0.35">
      <c r="A406" t="str">
        <f t="shared" si="6"/>
        <v>DybalaRoma</v>
      </c>
      <c r="B406">
        <v>309</v>
      </c>
      <c r="C406" t="s">
        <v>478</v>
      </c>
      <c r="D406" t="s">
        <v>493</v>
      </c>
      <c r="E406" t="s">
        <v>10</v>
      </c>
      <c r="F406">
        <v>17</v>
      </c>
      <c r="G406">
        <v>14</v>
      </c>
      <c r="H406">
        <v>3</v>
      </c>
      <c r="I406">
        <v>120</v>
      </c>
      <c r="J406">
        <f>VLOOKUP(B406,'Quotazioni calciatori'!N:N,1,FALSE)</f>
        <v>309</v>
      </c>
    </row>
    <row r="407" spans="1:10" x14ac:dyDescent="0.35">
      <c r="A407" t="str">
        <f t="shared" si="6"/>
        <v>GhilardiRoma</v>
      </c>
      <c r="B407">
        <v>6631</v>
      </c>
      <c r="C407" t="s">
        <v>92</v>
      </c>
      <c r="D407" t="s">
        <v>193</v>
      </c>
      <c r="E407" t="s">
        <v>10</v>
      </c>
      <c r="F407">
        <v>5</v>
      </c>
      <c r="G407">
        <v>4</v>
      </c>
      <c r="H407">
        <v>1</v>
      </c>
      <c r="I407">
        <v>9</v>
      </c>
      <c r="J407">
        <f>VLOOKUP(B407,'Quotazioni calciatori'!N:N,1,FALSE)</f>
        <v>6631</v>
      </c>
    </row>
    <row r="408" spans="1:10" x14ac:dyDescent="0.35">
      <c r="A408" t="str">
        <f t="shared" si="6"/>
        <v>GolliniRoma</v>
      </c>
      <c r="B408">
        <v>610</v>
      </c>
      <c r="C408" t="s">
        <v>8</v>
      </c>
      <c r="D408" t="s">
        <v>74</v>
      </c>
      <c r="E408" t="s">
        <v>10</v>
      </c>
      <c r="F408">
        <v>1</v>
      </c>
      <c r="G408">
        <v>1</v>
      </c>
      <c r="H408">
        <v>0</v>
      </c>
      <c r="I408">
        <v>1</v>
      </c>
      <c r="J408">
        <f>VLOOKUP(B408,'Quotazioni calciatori'!N:N,1,FALSE)</f>
        <v>610</v>
      </c>
    </row>
    <row r="409" spans="1:10" x14ac:dyDescent="0.35">
      <c r="A409" t="str">
        <f t="shared" si="6"/>
        <v>HermosoRoma</v>
      </c>
      <c r="B409">
        <v>4807</v>
      </c>
      <c r="C409" t="s">
        <v>92</v>
      </c>
      <c r="D409" t="s">
        <v>107</v>
      </c>
      <c r="E409" t="s">
        <v>10</v>
      </c>
      <c r="F409">
        <v>12</v>
      </c>
      <c r="G409">
        <v>10</v>
      </c>
      <c r="H409">
        <v>2</v>
      </c>
      <c r="I409">
        <v>35</v>
      </c>
      <c r="J409">
        <f>VLOOKUP(B409,'Quotazioni calciatori'!N:N,1,FALSE)</f>
        <v>4807</v>
      </c>
    </row>
    <row r="410" spans="1:10" x14ac:dyDescent="0.35">
      <c r="A410" t="str">
        <f t="shared" si="6"/>
        <v>Konè M.Roma</v>
      </c>
      <c r="B410">
        <v>5589</v>
      </c>
      <c r="C410" t="s">
        <v>283</v>
      </c>
      <c r="D410" t="s">
        <v>302</v>
      </c>
      <c r="E410" t="s">
        <v>10</v>
      </c>
      <c r="F410">
        <v>14</v>
      </c>
      <c r="G410">
        <v>10</v>
      </c>
      <c r="H410">
        <v>4</v>
      </c>
      <c r="I410">
        <v>50</v>
      </c>
      <c r="J410">
        <f>VLOOKUP(B410,'Quotazioni calciatori'!N:N,1,FALSE)</f>
        <v>5589</v>
      </c>
    </row>
    <row r="411" spans="1:10" x14ac:dyDescent="0.35">
      <c r="A411" t="str">
        <f t="shared" si="6"/>
        <v>KoulierakisRoma</v>
      </c>
      <c r="B411">
        <v>7529</v>
      </c>
      <c r="C411" t="s">
        <v>92</v>
      </c>
      <c r="D411" t="s">
        <v>153</v>
      </c>
      <c r="E411" t="s">
        <v>10</v>
      </c>
      <c r="F411">
        <v>7</v>
      </c>
      <c r="G411">
        <v>8</v>
      </c>
      <c r="H411">
        <v>-1</v>
      </c>
      <c r="I411">
        <v>9</v>
      </c>
      <c r="J411">
        <f>VLOOKUP(B411,'Quotazioni calciatori'!N:N,1,FALSE)</f>
        <v>7529</v>
      </c>
    </row>
    <row r="412" spans="1:10" x14ac:dyDescent="0.35">
      <c r="A412" t="str">
        <f t="shared" si="6"/>
        <v>LulliRoma</v>
      </c>
      <c r="B412">
        <v>7599</v>
      </c>
      <c r="C412" t="s">
        <v>92</v>
      </c>
      <c r="D412" t="s">
        <v>236</v>
      </c>
      <c r="E412" t="s">
        <v>10</v>
      </c>
      <c r="F412">
        <v>3</v>
      </c>
      <c r="G412">
        <v>1</v>
      </c>
      <c r="H412">
        <v>2</v>
      </c>
      <c r="I412">
        <v>10</v>
      </c>
      <c r="J412">
        <f>VLOOKUP(B412,'Quotazioni calciatori'!N:N,1,FALSE)</f>
        <v>7599</v>
      </c>
    </row>
    <row r="413" spans="1:10" x14ac:dyDescent="0.35">
      <c r="A413" t="str">
        <f t="shared" si="6"/>
        <v>MalenRoma</v>
      </c>
      <c r="B413">
        <v>5585</v>
      </c>
      <c r="C413" t="s">
        <v>478</v>
      </c>
      <c r="D413" t="s">
        <v>479</v>
      </c>
      <c r="E413" t="s">
        <v>10</v>
      </c>
      <c r="F413">
        <v>37</v>
      </c>
      <c r="G413">
        <v>34</v>
      </c>
      <c r="H413">
        <v>3</v>
      </c>
      <c r="I413">
        <v>437</v>
      </c>
      <c r="J413">
        <f>VLOOKUP(B413,'Quotazioni calciatori'!N:N,1,FALSE)</f>
        <v>5585</v>
      </c>
    </row>
    <row r="414" spans="1:10" x14ac:dyDescent="0.35">
      <c r="A414" t="str">
        <f t="shared" si="6"/>
        <v>ManciniRoma</v>
      </c>
      <c r="B414">
        <v>2296</v>
      </c>
      <c r="C414" t="s">
        <v>92</v>
      </c>
      <c r="D414" t="s">
        <v>98</v>
      </c>
      <c r="E414" t="s">
        <v>10</v>
      </c>
      <c r="F414">
        <v>15</v>
      </c>
      <c r="G414">
        <v>15</v>
      </c>
      <c r="H414">
        <v>0</v>
      </c>
      <c r="I414">
        <v>54</v>
      </c>
      <c r="J414">
        <f>VLOOKUP(B414,'Quotazioni calciatori'!N:N,1,FALSE)</f>
        <v>2296</v>
      </c>
    </row>
    <row r="415" spans="1:10" x14ac:dyDescent="0.35">
      <c r="A415" t="str">
        <f t="shared" si="6"/>
        <v>Molina N.Roma</v>
      </c>
      <c r="B415">
        <v>4998</v>
      </c>
      <c r="C415" t="s">
        <v>92</v>
      </c>
      <c r="D415" t="s">
        <v>96</v>
      </c>
      <c r="E415" t="s">
        <v>10</v>
      </c>
      <c r="F415">
        <v>17</v>
      </c>
      <c r="G415">
        <v>18</v>
      </c>
      <c r="H415">
        <v>-1</v>
      </c>
      <c r="I415">
        <v>65</v>
      </c>
      <c r="J415">
        <f>VLOOKUP(B415,'Quotazioni calciatori'!N:N,1,FALSE)</f>
        <v>4998</v>
      </c>
    </row>
    <row r="416" spans="1:10" x14ac:dyDescent="0.35">
      <c r="A416" t="str">
        <f t="shared" si="6"/>
        <v>MoraRoma</v>
      </c>
      <c r="B416">
        <v>7556</v>
      </c>
      <c r="C416" t="s">
        <v>283</v>
      </c>
      <c r="D416" t="s">
        <v>291</v>
      </c>
      <c r="E416" t="s">
        <v>10</v>
      </c>
      <c r="F416">
        <v>20</v>
      </c>
      <c r="G416">
        <v>19</v>
      </c>
      <c r="H416">
        <v>1</v>
      </c>
      <c r="I416">
        <v>65</v>
      </c>
      <c r="J416">
        <f>VLOOKUP(B416,'Quotazioni calciatori'!N:N,1,FALSE)</f>
        <v>7556</v>
      </c>
    </row>
    <row r="417" spans="1:10" x14ac:dyDescent="0.35">
      <c r="A417" t="str">
        <f t="shared" si="6"/>
        <v>N'DickaRoma</v>
      </c>
      <c r="B417">
        <v>4317</v>
      </c>
      <c r="C417" t="s">
        <v>92</v>
      </c>
      <c r="D417" t="s">
        <v>110</v>
      </c>
      <c r="E417" t="s">
        <v>10</v>
      </c>
      <c r="F417">
        <v>11</v>
      </c>
      <c r="G417">
        <v>13</v>
      </c>
      <c r="H417">
        <v>-2</v>
      </c>
      <c r="I417">
        <v>32</v>
      </c>
      <c r="J417">
        <f>VLOOKUP(B417,'Quotazioni calciatori'!N:N,1,FALSE)</f>
        <v>4317</v>
      </c>
    </row>
    <row r="418" spans="1:10" x14ac:dyDescent="0.35">
      <c r="A418" t="str">
        <f t="shared" si="6"/>
        <v>Pellegrini Lo.Roma</v>
      </c>
      <c r="B418">
        <v>530</v>
      </c>
      <c r="C418" t="s">
        <v>283</v>
      </c>
      <c r="D418" t="s">
        <v>361</v>
      </c>
      <c r="E418" t="s">
        <v>10</v>
      </c>
      <c r="F418">
        <v>8</v>
      </c>
      <c r="G418">
        <v>10</v>
      </c>
      <c r="H418">
        <v>-2</v>
      </c>
      <c r="I418">
        <v>12</v>
      </c>
      <c r="J418">
        <f>VLOOKUP(B418,'Quotazioni calciatori'!N:N,1,FALSE)</f>
        <v>530</v>
      </c>
    </row>
    <row r="419" spans="1:10" x14ac:dyDescent="0.35">
      <c r="A419" t="str">
        <f t="shared" si="6"/>
        <v>PisilliRoma</v>
      </c>
      <c r="B419">
        <v>6190</v>
      </c>
      <c r="C419" t="s">
        <v>283</v>
      </c>
      <c r="D419" t="s">
        <v>340</v>
      </c>
      <c r="E419" t="s">
        <v>10</v>
      </c>
      <c r="F419">
        <v>9</v>
      </c>
      <c r="G419">
        <v>5</v>
      </c>
      <c r="H419">
        <v>4</v>
      </c>
      <c r="I419">
        <v>30</v>
      </c>
      <c r="J419">
        <f>VLOOKUP(B419,'Quotazioni calciatori'!N:N,1,FALSE)</f>
        <v>6190</v>
      </c>
    </row>
    <row r="420" spans="1:10" x14ac:dyDescent="0.35">
      <c r="A420" t="str">
        <f t="shared" si="6"/>
        <v>RenschRoma</v>
      </c>
      <c r="B420">
        <v>6986</v>
      </c>
      <c r="C420" t="s">
        <v>92</v>
      </c>
      <c r="D420" t="s">
        <v>216</v>
      </c>
      <c r="E420" t="s">
        <v>10</v>
      </c>
      <c r="F420">
        <v>4</v>
      </c>
      <c r="G420">
        <v>5</v>
      </c>
      <c r="H420">
        <v>-1</v>
      </c>
      <c r="I420">
        <v>13</v>
      </c>
      <c r="J420">
        <f>VLOOKUP(B420,'Quotazioni calciatori'!N:N,1,FALSE)</f>
        <v>6986</v>
      </c>
    </row>
    <row r="421" spans="1:10" x14ac:dyDescent="0.35">
      <c r="A421" t="str">
        <f t="shared" si="6"/>
        <v>SoulèRoma</v>
      </c>
      <c r="B421">
        <v>5734</v>
      </c>
      <c r="C421" t="s">
        <v>478</v>
      </c>
      <c r="D421" t="s">
        <v>496</v>
      </c>
      <c r="E421" t="s">
        <v>10</v>
      </c>
      <c r="F421">
        <v>16</v>
      </c>
      <c r="G421">
        <v>12</v>
      </c>
      <c r="H421">
        <v>4</v>
      </c>
      <c r="I421">
        <v>63</v>
      </c>
      <c r="J421">
        <f>VLOOKUP(B421,'Quotazioni calciatori'!N:N,1,FALSE)</f>
        <v>5734</v>
      </c>
    </row>
    <row r="422" spans="1:10" x14ac:dyDescent="0.35">
      <c r="A422" t="str">
        <f t="shared" si="6"/>
        <v>SvilarRoma</v>
      </c>
      <c r="B422">
        <v>5841</v>
      </c>
      <c r="C422" t="s">
        <v>8</v>
      </c>
      <c r="D422" t="s">
        <v>9</v>
      </c>
      <c r="E422" t="s">
        <v>10</v>
      </c>
      <c r="F422">
        <v>19</v>
      </c>
      <c r="G422">
        <v>18</v>
      </c>
      <c r="H422">
        <v>1</v>
      </c>
      <c r="I422">
        <v>90</v>
      </c>
      <c r="J422">
        <f>VLOOKUP(B422,'Quotazioni calciatori'!N:N,1,FALSE)</f>
        <v>5841</v>
      </c>
    </row>
    <row r="423" spans="1:10" x14ac:dyDescent="0.35">
      <c r="A423" t="str">
        <f t="shared" si="6"/>
        <v>WesleyRoma</v>
      </c>
      <c r="B423">
        <v>7181</v>
      </c>
      <c r="C423" t="s">
        <v>92</v>
      </c>
      <c r="D423" t="s">
        <v>94</v>
      </c>
      <c r="E423" t="s">
        <v>10</v>
      </c>
      <c r="F423">
        <v>18</v>
      </c>
      <c r="G423">
        <v>17</v>
      </c>
      <c r="H423">
        <v>1</v>
      </c>
      <c r="I423">
        <v>93</v>
      </c>
      <c r="J423">
        <f>VLOOKUP(B423,'Quotazioni calciatori'!N:N,1,FALSE)</f>
        <v>7181</v>
      </c>
    </row>
    <row r="424" spans="1:10" x14ac:dyDescent="0.35">
      <c r="A424" t="str">
        <f t="shared" si="6"/>
        <v>AdzicSassuolo</v>
      </c>
      <c r="B424">
        <v>6677</v>
      </c>
      <c r="C424" t="s">
        <v>283</v>
      </c>
      <c r="D424" t="s">
        <v>325</v>
      </c>
      <c r="E424" t="s">
        <v>46</v>
      </c>
      <c r="F424">
        <v>11</v>
      </c>
      <c r="G424">
        <v>5</v>
      </c>
      <c r="H424">
        <v>6</v>
      </c>
      <c r="I424">
        <v>37</v>
      </c>
      <c r="J424">
        <f>VLOOKUP(B424,'Quotazioni calciatori'!N:N,1,FALSE)</f>
        <v>6677</v>
      </c>
    </row>
    <row r="425" spans="1:10" x14ac:dyDescent="0.35">
      <c r="A425" t="str">
        <f t="shared" si="6"/>
        <v>BakolaSassuolo</v>
      </c>
      <c r="B425">
        <v>7036</v>
      </c>
      <c r="C425" t="s">
        <v>283</v>
      </c>
      <c r="D425" t="s">
        <v>358</v>
      </c>
      <c r="E425" t="s">
        <v>46</v>
      </c>
      <c r="F425">
        <v>8</v>
      </c>
      <c r="G425">
        <v>5</v>
      </c>
      <c r="H425">
        <v>3</v>
      </c>
      <c r="I425">
        <v>17</v>
      </c>
      <c r="J425">
        <f>VLOOKUP(B425,'Quotazioni calciatori'!N:N,1,FALSE)</f>
        <v>7036</v>
      </c>
    </row>
    <row r="426" spans="1:10" x14ac:dyDescent="0.35">
      <c r="A426" t="str">
        <f t="shared" si="6"/>
        <v>BerardiSassuolo</v>
      </c>
      <c r="B426">
        <v>531</v>
      </c>
      <c r="C426" t="s">
        <v>478</v>
      </c>
      <c r="D426" t="s">
        <v>492</v>
      </c>
      <c r="E426" t="s">
        <v>46</v>
      </c>
      <c r="F426">
        <v>18</v>
      </c>
      <c r="G426">
        <v>18</v>
      </c>
      <c r="H426">
        <v>0</v>
      </c>
      <c r="I426">
        <v>103</v>
      </c>
      <c r="J426">
        <f>VLOOKUP(B426,'Quotazioni calciatori'!N:N,1,FALSE)</f>
        <v>531</v>
      </c>
    </row>
    <row r="427" spans="1:10" x14ac:dyDescent="0.35">
      <c r="A427" t="str">
        <f t="shared" si="6"/>
        <v>BolocaSassuolo</v>
      </c>
      <c r="B427">
        <v>6219</v>
      </c>
      <c r="C427" t="s">
        <v>283</v>
      </c>
      <c r="D427" t="s">
        <v>467</v>
      </c>
      <c r="E427" t="s">
        <v>46</v>
      </c>
      <c r="F427">
        <v>1</v>
      </c>
      <c r="G427">
        <v>2</v>
      </c>
      <c r="H427">
        <v>-1</v>
      </c>
      <c r="I427">
        <v>5</v>
      </c>
      <c r="J427">
        <f>VLOOKUP(B427,'Quotazioni calciatori'!N:N,1,FALSE)</f>
        <v>6219</v>
      </c>
    </row>
    <row r="428" spans="1:10" x14ac:dyDescent="0.35">
      <c r="A428" t="str">
        <f t="shared" si="6"/>
        <v>BowieSassuolo</v>
      </c>
      <c r="B428">
        <v>7347</v>
      </c>
      <c r="C428" t="s">
        <v>478</v>
      </c>
      <c r="D428" t="s">
        <v>509</v>
      </c>
      <c r="E428" t="s">
        <v>46</v>
      </c>
      <c r="F428">
        <v>12</v>
      </c>
      <c r="G428">
        <v>10</v>
      </c>
      <c r="H428">
        <v>2</v>
      </c>
      <c r="I428">
        <v>33</v>
      </c>
      <c r="J428">
        <f>VLOOKUP(B428,'Quotazioni calciatori'!N:N,1,FALSE)</f>
        <v>7347</v>
      </c>
    </row>
    <row r="429" spans="1:10" x14ac:dyDescent="0.35">
      <c r="A429" t="str">
        <f t="shared" si="6"/>
        <v>Caleta-CarSassuolo</v>
      </c>
      <c r="B429">
        <v>4147</v>
      </c>
      <c r="C429" t="s">
        <v>92</v>
      </c>
      <c r="D429" t="s">
        <v>174</v>
      </c>
      <c r="E429" t="s">
        <v>46</v>
      </c>
      <c r="F429">
        <v>6</v>
      </c>
      <c r="G429">
        <v>6</v>
      </c>
      <c r="H429">
        <v>0</v>
      </c>
      <c r="I429">
        <v>11</v>
      </c>
      <c r="J429">
        <f>VLOOKUP(B429,'Quotazioni calciatori'!N:N,1,FALSE)</f>
        <v>4147</v>
      </c>
    </row>
    <row r="430" spans="1:10" x14ac:dyDescent="0.35">
      <c r="A430" t="str">
        <f t="shared" si="6"/>
        <v>CandèSassuolo</v>
      </c>
      <c r="B430">
        <v>6985</v>
      </c>
      <c r="C430" t="s">
        <v>92</v>
      </c>
      <c r="D430" t="s">
        <v>247</v>
      </c>
      <c r="E430" t="s">
        <v>46</v>
      </c>
      <c r="F430">
        <v>2</v>
      </c>
      <c r="G430">
        <v>3</v>
      </c>
      <c r="H430">
        <v>-1</v>
      </c>
      <c r="I430">
        <v>6</v>
      </c>
      <c r="J430" t="e">
        <f>VLOOKUP(B430,'Quotazioni calciatori'!N:N,1,FALSE)</f>
        <v>#N/A</v>
      </c>
    </row>
    <row r="431" spans="1:10" x14ac:dyDescent="0.35">
      <c r="A431" t="str">
        <f t="shared" si="6"/>
        <v>CinquegranoSassuolo</v>
      </c>
      <c r="B431">
        <v>7573</v>
      </c>
      <c r="C431" t="s">
        <v>92</v>
      </c>
      <c r="D431" t="s">
        <v>198</v>
      </c>
      <c r="E431" t="s">
        <v>46</v>
      </c>
      <c r="F431">
        <v>5</v>
      </c>
      <c r="G431">
        <v>1</v>
      </c>
      <c r="H431">
        <v>4</v>
      </c>
      <c r="I431">
        <v>11</v>
      </c>
      <c r="J431">
        <f>VLOOKUP(B431,'Quotazioni calciatori'!N:N,1,FALSE)</f>
        <v>7573</v>
      </c>
    </row>
    <row r="432" spans="1:10" x14ac:dyDescent="0.35">
      <c r="A432" t="str">
        <f t="shared" si="6"/>
        <v>DoigSassuolo</v>
      </c>
      <c r="B432">
        <v>5851</v>
      </c>
      <c r="C432" t="s">
        <v>92</v>
      </c>
      <c r="D432" t="s">
        <v>139</v>
      </c>
      <c r="E432" t="s">
        <v>46</v>
      </c>
      <c r="F432">
        <v>8</v>
      </c>
      <c r="G432">
        <v>4</v>
      </c>
      <c r="H432">
        <v>4</v>
      </c>
      <c r="I432">
        <v>12</v>
      </c>
      <c r="J432">
        <f>VLOOKUP(B432,'Quotazioni calciatori'!N:N,1,FALSE)</f>
        <v>5851</v>
      </c>
    </row>
    <row r="433" spans="1:10" x14ac:dyDescent="0.35">
      <c r="A433" t="str">
        <f t="shared" si="6"/>
        <v>Dominguez B.Sassuolo</v>
      </c>
      <c r="B433">
        <v>6895</v>
      </c>
      <c r="C433" t="s">
        <v>283</v>
      </c>
      <c r="D433" t="s">
        <v>394</v>
      </c>
      <c r="E433" t="s">
        <v>46</v>
      </c>
      <c r="F433">
        <v>5</v>
      </c>
      <c r="G433">
        <v>3</v>
      </c>
      <c r="H433">
        <v>2</v>
      </c>
      <c r="I433">
        <v>12</v>
      </c>
      <c r="J433">
        <f>VLOOKUP(B433,'Quotazioni calciatori'!N:N,1,FALSE)</f>
        <v>6895</v>
      </c>
    </row>
    <row r="434" spans="1:10" x14ac:dyDescent="0.35">
      <c r="A434" t="str">
        <f t="shared" si="6"/>
        <v>Esposito Se.Sassuolo</v>
      </c>
      <c r="B434">
        <v>4463</v>
      </c>
      <c r="C434" t="s">
        <v>478</v>
      </c>
      <c r="D434" t="s">
        <v>501</v>
      </c>
      <c r="E434" t="s">
        <v>46</v>
      </c>
      <c r="F434">
        <v>14</v>
      </c>
      <c r="G434">
        <v>13</v>
      </c>
      <c r="H434">
        <v>1</v>
      </c>
      <c r="I434">
        <v>41</v>
      </c>
      <c r="J434">
        <f>VLOOKUP(B434,'Quotazioni calciatori'!N:N,1,FALSE)</f>
        <v>4463</v>
      </c>
    </row>
    <row r="435" spans="1:10" x14ac:dyDescent="0.35">
      <c r="A435" t="str">
        <f t="shared" si="6"/>
        <v>IdzesSassuolo</v>
      </c>
      <c r="B435">
        <v>6672</v>
      </c>
      <c r="C435" t="s">
        <v>92</v>
      </c>
      <c r="D435" t="s">
        <v>154</v>
      </c>
      <c r="E435" t="s">
        <v>46</v>
      </c>
      <c r="F435">
        <v>7</v>
      </c>
      <c r="G435">
        <v>7</v>
      </c>
      <c r="H435">
        <v>0</v>
      </c>
      <c r="I435">
        <v>14</v>
      </c>
      <c r="J435">
        <f>VLOOKUP(B435,'Quotazioni calciatori'!N:N,1,FALSE)</f>
        <v>6672</v>
      </c>
    </row>
    <row r="436" spans="1:10" x14ac:dyDescent="0.35">
      <c r="A436" t="str">
        <f t="shared" si="6"/>
        <v>Konè I.Sassuolo</v>
      </c>
      <c r="B436">
        <v>6717</v>
      </c>
      <c r="C436" t="s">
        <v>283</v>
      </c>
      <c r="D436" t="s">
        <v>369</v>
      </c>
      <c r="E436" t="s">
        <v>46</v>
      </c>
      <c r="F436">
        <v>7</v>
      </c>
      <c r="G436">
        <v>9</v>
      </c>
      <c r="H436">
        <v>-2</v>
      </c>
      <c r="I436">
        <v>20</v>
      </c>
      <c r="J436">
        <f>VLOOKUP(B436,'Quotazioni calciatori'!N:N,1,FALSE)</f>
        <v>6717</v>
      </c>
    </row>
    <row r="437" spans="1:10" x14ac:dyDescent="0.35">
      <c r="A437" t="str">
        <f t="shared" si="6"/>
        <v>LaurientèSassuolo</v>
      </c>
      <c r="B437">
        <v>6060</v>
      </c>
      <c r="C437" t="s">
        <v>478</v>
      </c>
      <c r="D437" t="s">
        <v>497</v>
      </c>
      <c r="E437" t="s">
        <v>46</v>
      </c>
      <c r="F437">
        <v>16</v>
      </c>
      <c r="G437">
        <v>15</v>
      </c>
      <c r="H437">
        <v>1</v>
      </c>
      <c r="I437">
        <v>77</v>
      </c>
      <c r="J437">
        <f>VLOOKUP(B437,'Quotazioni calciatori'!N:N,1,FALSE)</f>
        <v>6060</v>
      </c>
    </row>
    <row r="438" spans="1:10" x14ac:dyDescent="0.35">
      <c r="A438" t="str">
        <f t="shared" si="6"/>
        <v>Leysen F.Sassuolo</v>
      </c>
      <c r="B438">
        <v>7564</v>
      </c>
      <c r="C438" t="s">
        <v>92</v>
      </c>
      <c r="D438" t="s">
        <v>144</v>
      </c>
      <c r="E438" t="s">
        <v>46</v>
      </c>
      <c r="F438">
        <v>8</v>
      </c>
      <c r="G438">
        <v>5</v>
      </c>
      <c r="H438">
        <v>3</v>
      </c>
      <c r="I438">
        <v>12</v>
      </c>
      <c r="J438">
        <f>VLOOKUP(B438,'Quotazioni calciatori'!N:N,1,FALSE)</f>
        <v>7564</v>
      </c>
    </row>
    <row r="439" spans="1:10" x14ac:dyDescent="0.35">
      <c r="A439" t="str">
        <f t="shared" si="6"/>
        <v>LipaniSassuolo</v>
      </c>
      <c r="B439">
        <v>6246</v>
      </c>
      <c r="C439" t="s">
        <v>283</v>
      </c>
      <c r="D439" t="s">
        <v>443</v>
      </c>
      <c r="E439" t="s">
        <v>46</v>
      </c>
      <c r="F439">
        <v>3</v>
      </c>
      <c r="G439">
        <v>2</v>
      </c>
      <c r="H439">
        <v>1</v>
      </c>
      <c r="I439">
        <v>5</v>
      </c>
      <c r="J439">
        <f>VLOOKUP(B439,'Quotazioni calciatori'!N:N,1,FALSE)</f>
        <v>6246</v>
      </c>
    </row>
    <row r="440" spans="1:10" x14ac:dyDescent="0.35">
      <c r="A440" t="str">
        <f t="shared" si="6"/>
        <v>MaticSassuolo</v>
      </c>
      <c r="B440">
        <v>2528</v>
      </c>
      <c r="C440" t="s">
        <v>283</v>
      </c>
      <c r="D440" t="s">
        <v>341</v>
      </c>
      <c r="E440" t="s">
        <v>46</v>
      </c>
      <c r="F440">
        <v>9</v>
      </c>
      <c r="G440">
        <v>5</v>
      </c>
      <c r="H440">
        <v>4</v>
      </c>
      <c r="I440">
        <v>15</v>
      </c>
      <c r="J440">
        <f>VLOOKUP(B440,'Quotazioni calciatori'!N:N,1,FALSE)</f>
        <v>2528</v>
      </c>
    </row>
    <row r="441" spans="1:10" x14ac:dyDescent="0.35">
      <c r="A441" t="str">
        <f t="shared" si="6"/>
        <v>MuricSassuolo</v>
      </c>
      <c r="B441">
        <v>4236</v>
      </c>
      <c r="C441" t="s">
        <v>8</v>
      </c>
      <c r="D441" t="s">
        <v>45</v>
      </c>
      <c r="E441" t="s">
        <v>46</v>
      </c>
      <c r="F441">
        <v>5</v>
      </c>
      <c r="G441">
        <v>7</v>
      </c>
      <c r="H441">
        <v>-2</v>
      </c>
      <c r="I441">
        <v>10</v>
      </c>
      <c r="J441">
        <f>VLOOKUP(B441,'Quotazioni calciatori'!N:N,1,FALSE)</f>
        <v>4236</v>
      </c>
    </row>
    <row r="442" spans="1:10" x14ac:dyDescent="0.35">
      <c r="A442" t="str">
        <f t="shared" si="6"/>
        <v>ObradorSassuolo</v>
      </c>
      <c r="B442">
        <v>7329</v>
      </c>
      <c r="C442" t="s">
        <v>92</v>
      </c>
      <c r="D442" t="s">
        <v>197</v>
      </c>
      <c r="E442" t="s">
        <v>46</v>
      </c>
      <c r="F442">
        <v>5</v>
      </c>
      <c r="G442">
        <v>6</v>
      </c>
      <c r="H442">
        <v>-1</v>
      </c>
      <c r="I442">
        <v>9</v>
      </c>
      <c r="J442">
        <f>VLOOKUP(B442,'Quotazioni calciatori'!N:N,1,FALSE)</f>
        <v>7329</v>
      </c>
    </row>
    <row r="443" spans="1:10" x14ac:dyDescent="0.35">
      <c r="A443" t="str">
        <f t="shared" si="6"/>
        <v>OdenthalSassuolo</v>
      </c>
      <c r="B443">
        <v>7154</v>
      </c>
      <c r="C443" t="s">
        <v>92</v>
      </c>
      <c r="D443" t="s">
        <v>235</v>
      </c>
      <c r="E443" t="s">
        <v>46</v>
      </c>
      <c r="F443">
        <v>3</v>
      </c>
      <c r="G443">
        <v>1</v>
      </c>
      <c r="H443">
        <v>2</v>
      </c>
      <c r="I443">
        <v>6</v>
      </c>
      <c r="J443">
        <f>VLOOKUP(B443,'Quotazioni calciatori'!N:N,1,FALSE)</f>
        <v>7154</v>
      </c>
    </row>
    <row r="444" spans="1:10" x14ac:dyDescent="0.35">
      <c r="A444" t="str">
        <f t="shared" si="6"/>
        <v>PieragnoloSassuolo</v>
      </c>
      <c r="B444">
        <v>7156</v>
      </c>
      <c r="C444" t="s">
        <v>92</v>
      </c>
      <c r="D444" t="s">
        <v>274</v>
      </c>
      <c r="E444" t="s">
        <v>46</v>
      </c>
      <c r="F444">
        <v>1</v>
      </c>
      <c r="G444">
        <v>1</v>
      </c>
      <c r="H444">
        <v>0</v>
      </c>
      <c r="I444">
        <v>1</v>
      </c>
      <c r="J444">
        <f>VLOOKUP(B444,'Quotazioni calciatori'!N:N,1,FALSE)</f>
        <v>7156</v>
      </c>
    </row>
    <row r="445" spans="1:10" x14ac:dyDescent="0.35">
      <c r="A445" t="str">
        <f t="shared" si="6"/>
        <v>Russo A.Sassuolo</v>
      </c>
      <c r="B445">
        <v>4518</v>
      </c>
      <c r="C445" t="s">
        <v>8</v>
      </c>
      <c r="D445" t="s">
        <v>75</v>
      </c>
      <c r="E445" t="s">
        <v>46</v>
      </c>
      <c r="F445">
        <v>1</v>
      </c>
      <c r="G445">
        <v>1</v>
      </c>
      <c r="H445">
        <v>0</v>
      </c>
      <c r="I445">
        <v>1</v>
      </c>
      <c r="J445" t="e">
        <f>VLOOKUP(B445,'Quotazioni calciatori'!N:N,1,FALSE)</f>
        <v>#N/A</v>
      </c>
    </row>
    <row r="446" spans="1:10" x14ac:dyDescent="0.35">
      <c r="A446" t="str">
        <f t="shared" si="6"/>
        <v>SatalinoSassuolo</v>
      </c>
      <c r="B446">
        <v>2127</v>
      </c>
      <c r="C446" t="s">
        <v>8</v>
      </c>
      <c r="D446" t="s">
        <v>82</v>
      </c>
      <c r="E446" t="s">
        <v>46</v>
      </c>
      <c r="F446">
        <v>1</v>
      </c>
      <c r="G446">
        <v>1</v>
      </c>
      <c r="H446">
        <v>0</v>
      </c>
      <c r="I446">
        <v>1</v>
      </c>
      <c r="J446">
        <f>VLOOKUP(B446,'Quotazioni calciatori'!N:N,1,FALSE)</f>
        <v>2127</v>
      </c>
    </row>
    <row r="447" spans="1:10" x14ac:dyDescent="0.35">
      <c r="A447" t="str">
        <f t="shared" si="6"/>
        <v>Sulemana I.Sassuolo</v>
      </c>
      <c r="B447">
        <v>6024</v>
      </c>
      <c r="C447" t="s">
        <v>283</v>
      </c>
      <c r="D447" t="s">
        <v>434</v>
      </c>
      <c r="E447" t="s">
        <v>46</v>
      </c>
      <c r="F447">
        <v>3</v>
      </c>
      <c r="G447">
        <v>3</v>
      </c>
      <c r="H447">
        <v>0</v>
      </c>
      <c r="I447">
        <v>7</v>
      </c>
      <c r="J447">
        <f>VLOOKUP(B447,'Quotazioni calciatori'!N:N,1,FALSE)</f>
        <v>6024</v>
      </c>
    </row>
    <row r="448" spans="1:10" x14ac:dyDescent="0.35">
      <c r="A448" t="str">
        <f t="shared" si="6"/>
        <v>ThorstvedtSassuolo</v>
      </c>
      <c r="B448">
        <v>5844</v>
      </c>
      <c r="C448" t="s">
        <v>283</v>
      </c>
      <c r="D448" t="s">
        <v>342</v>
      </c>
      <c r="E448" t="s">
        <v>46</v>
      </c>
      <c r="F448">
        <v>9</v>
      </c>
      <c r="G448">
        <v>10</v>
      </c>
      <c r="H448">
        <v>-1</v>
      </c>
      <c r="I448">
        <v>31</v>
      </c>
      <c r="J448">
        <f>VLOOKUP(B448,'Quotazioni calciatori'!N:N,1,FALSE)</f>
        <v>5844</v>
      </c>
    </row>
    <row r="449" spans="1:10" x14ac:dyDescent="0.35">
      <c r="A449" t="str">
        <f t="shared" si="6"/>
        <v>TuratiSassuolo</v>
      </c>
      <c r="B449">
        <v>4867</v>
      </c>
      <c r="C449" t="s">
        <v>8</v>
      </c>
      <c r="D449" t="s">
        <v>76</v>
      </c>
      <c r="E449" t="s">
        <v>46</v>
      </c>
      <c r="F449">
        <v>1</v>
      </c>
      <c r="G449">
        <v>1</v>
      </c>
      <c r="H449">
        <v>0</v>
      </c>
      <c r="I449">
        <v>1</v>
      </c>
      <c r="J449">
        <f>VLOOKUP(B449,'Quotazioni calciatori'!N:N,1,FALSE)</f>
        <v>4867</v>
      </c>
    </row>
    <row r="450" spans="1:10" x14ac:dyDescent="0.35">
      <c r="A450" t="str">
        <f t="shared" ref="A450:A513" si="7">CONCATENATE(D450,E450)</f>
        <v>Van Der BremptSassuolo</v>
      </c>
      <c r="B450">
        <v>6896</v>
      </c>
      <c r="C450" t="s">
        <v>92</v>
      </c>
      <c r="D450" t="s">
        <v>258</v>
      </c>
      <c r="E450" t="s">
        <v>46</v>
      </c>
      <c r="F450">
        <v>1</v>
      </c>
      <c r="G450">
        <v>2</v>
      </c>
      <c r="H450">
        <v>-1</v>
      </c>
      <c r="I450">
        <v>6</v>
      </c>
      <c r="J450">
        <f>VLOOKUP(B450,'Quotazioni calciatori'!N:N,1,FALSE)</f>
        <v>6896</v>
      </c>
    </row>
    <row r="451" spans="1:10" x14ac:dyDescent="0.35">
      <c r="A451" t="str">
        <f t="shared" si="7"/>
        <v>VolpatoSassuolo</v>
      </c>
      <c r="B451">
        <v>5735</v>
      </c>
      <c r="C451" t="s">
        <v>283</v>
      </c>
      <c r="D451" t="s">
        <v>343</v>
      </c>
      <c r="E451" t="s">
        <v>46</v>
      </c>
      <c r="F451">
        <v>9</v>
      </c>
      <c r="G451">
        <v>7</v>
      </c>
      <c r="H451">
        <v>2</v>
      </c>
      <c r="I451">
        <v>20</v>
      </c>
      <c r="J451">
        <f>VLOOKUP(B451,'Quotazioni calciatori'!N:N,1,FALSE)</f>
        <v>5735</v>
      </c>
    </row>
    <row r="452" spans="1:10" x14ac:dyDescent="0.35">
      <c r="A452" t="str">
        <f t="shared" si="7"/>
        <v>WalukiewiczSassuolo</v>
      </c>
      <c r="B452">
        <v>4374</v>
      </c>
      <c r="C452" t="s">
        <v>92</v>
      </c>
      <c r="D452" t="s">
        <v>230</v>
      </c>
      <c r="E452" t="s">
        <v>46</v>
      </c>
      <c r="F452">
        <v>3</v>
      </c>
      <c r="G452">
        <v>4</v>
      </c>
      <c r="H452">
        <v>-1</v>
      </c>
      <c r="I452">
        <v>10</v>
      </c>
      <c r="J452">
        <f>VLOOKUP(B452,'Quotazioni calciatori'!N:N,1,FALSE)</f>
        <v>4374</v>
      </c>
    </row>
    <row r="453" spans="1:10" x14ac:dyDescent="0.35">
      <c r="A453" t="str">
        <f t="shared" si="7"/>
        <v>AboukhlalTorino</v>
      </c>
      <c r="B453">
        <v>7183</v>
      </c>
      <c r="C453" t="s">
        <v>283</v>
      </c>
      <c r="D453" t="s">
        <v>454</v>
      </c>
      <c r="E453" t="s">
        <v>34</v>
      </c>
      <c r="F453">
        <v>2</v>
      </c>
      <c r="G453">
        <v>3</v>
      </c>
      <c r="H453">
        <v>-1</v>
      </c>
      <c r="I453">
        <v>5</v>
      </c>
      <c r="J453">
        <f>VLOOKUP(B453,'Quotazioni calciatori'!N:N,1,FALSE)</f>
        <v>7183</v>
      </c>
    </row>
    <row r="454" spans="1:10" x14ac:dyDescent="0.35">
      <c r="A454" t="str">
        <f t="shared" si="7"/>
        <v>Adams C.Torino</v>
      </c>
      <c r="B454">
        <v>6646</v>
      </c>
      <c r="C454" t="s">
        <v>478</v>
      </c>
      <c r="D454" t="s">
        <v>514</v>
      </c>
      <c r="E454" t="s">
        <v>34</v>
      </c>
      <c r="F454">
        <v>11</v>
      </c>
      <c r="G454">
        <v>9</v>
      </c>
      <c r="H454">
        <v>2</v>
      </c>
      <c r="I454">
        <v>25</v>
      </c>
      <c r="J454">
        <f>VLOOKUP(B454,'Quotazioni calciatori'!N:N,1,FALSE)</f>
        <v>6646</v>
      </c>
    </row>
    <row r="455" spans="1:10" x14ac:dyDescent="0.35">
      <c r="A455" t="str">
        <f t="shared" si="7"/>
        <v>BelghaliTorino</v>
      </c>
      <c r="B455">
        <v>7220</v>
      </c>
      <c r="C455" t="s">
        <v>92</v>
      </c>
      <c r="D455" t="s">
        <v>159</v>
      </c>
      <c r="E455" t="s">
        <v>34</v>
      </c>
      <c r="F455">
        <v>7</v>
      </c>
      <c r="G455">
        <v>7</v>
      </c>
      <c r="H455">
        <v>0</v>
      </c>
      <c r="I455">
        <v>13</v>
      </c>
      <c r="J455">
        <f>VLOOKUP(B455,'Quotazioni calciatori'!N:N,1,FALSE)</f>
        <v>7220</v>
      </c>
    </row>
    <row r="456" spans="1:10" x14ac:dyDescent="0.35">
      <c r="A456" t="str">
        <f t="shared" si="7"/>
        <v>BiraghiTorino</v>
      </c>
      <c r="B456">
        <v>252</v>
      </c>
      <c r="C456" t="s">
        <v>92</v>
      </c>
      <c r="D456" t="s">
        <v>275</v>
      </c>
      <c r="E456" t="s">
        <v>34</v>
      </c>
      <c r="F456">
        <v>1</v>
      </c>
      <c r="G456">
        <v>2</v>
      </c>
      <c r="H456">
        <v>-1</v>
      </c>
      <c r="I456">
        <v>5</v>
      </c>
      <c r="J456">
        <f>VLOOKUP(B456,'Quotazioni calciatori'!N:N,1,FALSE)</f>
        <v>252</v>
      </c>
    </row>
    <row r="457" spans="1:10" x14ac:dyDescent="0.35">
      <c r="A457" t="str">
        <f t="shared" si="7"/>
        <v>BragancaTorino</v>
      </c>
      <c r="B457">
        <v>7624</v>
      </c>
      <c r="C457" t="s">
        <v>283</v>
      </c>
      <c r="D457" t="s">
        <v>376</v>
      </c>
      <c r="E457" t="s">
        <v>34</v>
      </c>
      <c r="F457">
        <v>7</v>
      </c>
      <c r="G457">
        <v>6</v>
      </c>
      <c r="H457">
        <v>1</v>
      </c>
      <c r="I457">
        <v>18</v>
      </c>
      <c r="J457">
        <f>VLOOKUP(B457,'Quotazioni calciatori'!N:N,1,FALSE)</f>
        <v>7624</v>
      </c>
    </row>
    <row r="458" spans="1:10" x14ac:dyDescent="0.35">
      <c r="A458" t="str">
        <f t="shared" si="7"/>
        <v>CacciamaniTorino</v>
      </c>
      <c r="B458">
        <v>7060</v>
      </c>
      <c r="C458" t="s">
        <v>283</v>
      </c>
      <c r="D458" t="s">
        <v>359</v>
      </c>
      <c r="E458" t="s">
        <v>34</v>
      </c>
      <c r="F458">
        <v>8</v>
      </c>
      <c r="G458">
        <v>5</v>
      </c>
      <c r="H458">
        <v>3</v>
      </c>
      <c r="I458">
        <v>25</v>
      </c>
      <c r="J458">
        <f>VLOOKUP(B458,'Quotazioni calciatori'!N:N,1,FALSE)</f>
        <v>7060</v>
      </c>
    </row>
    <row r="459" spans="1:10" x14ac:dyDescent="0.35">
      <c r="A459" t="str">
        <f t="shared" si="7"/>
        <v>CasadeiTorino</v>
      </c>
      <c r="B459">
        <v>5888</v>
      </c>
      <c r="C459" t="s">
        <v>283</v>
      </c>
      <c r="D459" t="s">
        <v>360</v>
      </c>
      <c r="E459" t="s">
        <v>34</v>
      </c>
      <c r="F459">
        <v>8</v>
      </c>
      <c r="G459">
        <v>10</v>
      </c>
      <c r="H459">
        <v>-2</v>
      </c>
      <c r="I459">
        <v>17</v>
      </c>
      <c r="J459">
        <f>VLOOKUP(B459,'Quotazioni calciatori'!N:N,1,FALSE)</f>
        <v>5888</v>
      </c>
    </row>
    <row r="460" spans="1:10" x14ac:dyDescent="0.35">
      <c r="A460" t="str">
        <f t="shared" si="7"/>
        <v>CocoTorino</v>
      </c>
      <c r="B460">
        <v>6642</v>
      </c>
      <c r="C460" t="s">
        <v>92</v>
      </c>
      <c r="D460" t="s">
        <v>140</v>
      </c>
      <c r="E460" t="s">
        <v>34</v>
      </c>
      <c r="F460">
        <v>8</v>
      </c>
      <c r="G460">
        <v>7</v>
      </c>
      <c r="H460">
        <v>1</v>
      </c>
      <c r="I460">
        <v>14</v>
      </c>
      <c r="J460">
        <f>VLOOKUP(B460,'Quotazioni calciatori'!N:N,1,FALSE)</f>
        <v>6642</v>
      </c>
    </row>
    <row r="461" spans="1:10" x14ac:dyDescent="0.35">
      <c r="A461" t="str">
        <f t="shared" si="7"/>
        <v>ComertTorino</v>
      </c>
      <c r="B461">
        <v>7526</v>
      </c>
      <c r="C461" t="s">
        <v>92</v>
      </c>
      <c r="D461" t="s">
        <v>169</v>
      </c>
      <c r="E461" t="s">
        <v>34</v>
      </c>
      <c r="F461">
        <v>6</v>
      </c>
      <c r="G461">
        <v>4</v>
      </c>
      <c r="H461">
        <v>2</v>
      </c>
      <c r="I461">
        <v>13</v>
      </c>
      <c r="J461">
        <f>VLOOKUP(B461,'Quotazioni calciatori'!N:N,1,FALSE)</f>
        <v>7526</v>
      </c>
    </row>
    <row r="462" spans="1:10" x14ac:dyDescent="0.35">
      <c r="A462" t="str">
        <f t="shared" si="7"/>
        <v>ComuzzoTorino</v>
      </c>
      <c r="B462">
        <v>6495</v>
      </c>
      <c r="C462" t="s">
        <v>92</v>
      </c>
      <c r="D462" t="s">
        <v>155</v>
      </c>
      <c r="E462" t="s">
        <v>34</v>
      </c>
      <c r="F462">
        <v>7</v>
      </c>
      <c r="G462">
        <v>6</v>
      </c>
      <c r="H462">
        <v>1</v>
      </c>
      <c r="I462">
        <v>10</v>
      </c>
      <c r="J462">
        <f>VLOOKUP(B462,'Quotazioni calciatori'!N:N,1,FALSE)</f>
        <v>6495</v>
      </c>
    </row>
    <row r="463" spans="1:10" x14ac:dyDescent="0.35">
      <c r="A463" t="str">
        <f t="shared" si="7"/>
        <v>Fitz-JimTorino</v>
      </c>
      <c r="B463">
        <v>7535</v>
      </c>
      <c r="C463" t="s">
        <v>283</v>
      </c>
      <c r="D463" t="s">
        <v>386</v>
      </c>
      <c r="E463" t="s">
        <v>34</v>
      </c>
      <c r="F463">
        <v>6</v>
      </c>
      <c r="G463">
        <v>4</v>
      </c>
      <c r="H463">
        <v>2</v>
      </c>
      <c r="I463">
        <v>18</v>
      </c>
      <c r="J463">
        <f>VLOOKUP(B463,'Quotazioni calciatori'!N:N,1,FALSE)</f>
        <v>7535</v>
      </c>
    </row>
    <row r="464" spans="1:10" x14ac:dyDescent="0.35">
      <c r="A464" t="str">
        <f t="shared" si="7"/>
        <v>FortiniTorino</v>
      </c>
      <c r="B464">
        <v>7069</v>
      </c>
      <c r="C464" t="s">
        <v>92</v>
      </c>
      <c r="D464" t="s">
        <v>172</v>
      </c>
      <c r="E464" t="s">
        <v>34</v>
      </c>
      <c r="F464">
        <v>6</v>
      </c>
      <c r="G464">
        <v>5</v>
      </c>
      <c r="H464">
        <v>1</v>
      </c>
      <c r="I464">
        <v>12</v>
      </c>
      <c r="J464">
        <f>VLOOKUP(B464,'Quotazioni calciatori'!N:N,1,FALSE)</f>
        <v>7069</v>
      </c>
    </row>
    <row r="465" spans="1:10" x14ac:dyDescent="0.35">
      <c r="A465" t="str">
        <f t="shared" si="7"/>
        <v>GineitisTorino</v>
      </c>
      <c r="B465">
        <v>6170</v>
      </c>
      <c r="C465" t="s">
        <v>283</v>
      </c>
      <c r="D465" t="s">
        <v>404</v>
      </c>
      <c r="E465" t="s">
        <v>34</v>
      </c>
      <c r="F465">
        <v>5</v>
      </c>
      <c r="G465">
        <v>5</v>
      </c>
      <c r="H465">
        <v>0</v>
      </c>
      <c r="I465">
        <v>12</v>
      </c>
      <c r="J465">
        <f>VLOOKUP(B465,'Quotazioni calciatori'!N:N,1,FALSE)</f>
        <v>6170</v>
      </c>
    </row>
    <row r="466" spans="1:10" x14ac:dyDescent="0.35">
      <c r="A466" t="str">
        <f t="shared" si="7"/>
        <v>IlkhanTorino</v>
      </c>
      <c r="B466">
        <v>6005</v>
      </c>
      <c r="C466" t="s">
        <v>283</v>
      </c>
      <c r="D466" t="s">
        <v>429</v>
      </c>
      <c r="E466" t="s">
        <v>34</v>
      </c>
      <c r="F466">
        <v>4</v>
      </c>
      <c r="G466">
        <v>4</v>
      </c>
      <c r="H466">
        <v>0</v>
      </c>
      <c r="I466">
        <v>8</v>
      </c>
      <c r="J466">
        <f>VLOOKUP(B466,'Quotazioni calciatori'!N:N,1,FALSE)</f>
        <v>6005</v>
      </c>
    </row>
    <row r="467" spans="1:10" x14ac:dyDescent="0.35">
      <c r="A467" t="str">
        <f t="shared" si="7"/>
        <v>IsmajliTorino</v>
      </c>
      <c r="B467">
        <v>5010</v>
      </c>
      <c r="C467" t="s">
        <v>92</v>
      </c>
      <c r="D467" t="s">
        <v>156</v>
      </c>
      <c r="E467" t="s">
        <v>34</v>
      </c>
      <c r="F467">
        <v>7</v>
      </c>
      <c r="G467">
        <v>7</v>
      </c>
      <c r="H467">
        <v>0</v>
      </c>
      <c r="I467">
        <v>12</v>
      </c>
      <c r="J467">
        <f>VLOOKUP(B467,'Quotazioni calciatori'!N:N,1,FALSE)</f>
        <v>5010</v>
      </c>
    </row>
    <row r="468" spans="1:10" x14ac:dyDescent="0.35">
      <c r="A468" t="str">
        <f t="shared" si="7"/>
        <v>KulenovicTorino</v>
      </c>
      <c r="B468">
        <v>7349</v>
      </c>
      <c r="C468" t="s">
        <v>478</v>
      </c>
      <c r="D468" t="s">
        <v>537</v>
      </c>
      <c r="E468" t="s">
        <v>34</v>
      </c>
      <c r="F468">
        <v>6</v>
      </c>
      <c r="G468">
        <v>4</v>
      </c>
      <c r="H468">
        <v>2</v>
      </c>
      <c r="I468">
        <v>13</v>
      </c>
      <c r="J468">
        <f>VLOOKUP(B468,'Quotazioni calciatori'!N:N,1,FALSE)</f>
        <v>7349</v>
      </c>
    </row>
    <row r="469" spans="1:10" x14ac:dyDescent="0.35">
      <c r="A469" t="str">
        <f t="shared" si="7"/>
        <v>MandragoraTorino</v>
      </c>
      <c r="B469">
        <v>1933</v>
      </c>
      <c r="C469" t="s">
        <v>283</v>
      </c>
      <c r="D469" t="s">
        <v>311</v>
      </c>
      <c r="E469" t="s">
        <v>34</v>
      </c>
      <c r="F469">
        <v>12</v>
      </c>
      <c r="G469">
        <v>9</v>
      </c>
      <c r="H469">
        <v>3</v>
      </c>
      <c r="I469">
        <v>40</v>
      </c>
      <c r="J469">
        <f>VLOOKUP(B469,'Quotazioni calciatori'!N:N,1,FALSE)</f>
        <v>1933</v>
      </c>
    </row>
    <row r="470" spans="1:10" x14ac:dyDescent="0.35">
      <c r="A470" t="str">
        <f t="shared" si="7"/>
        <v>MascardiTorino</v>
      </c>
      <c r="B470">
        <v>7457</v>
      </c>
      <c r="C470" t="s">
        <v>8</v>
      </c>
      <c r="D470" t="s">
        <v>77</v>
      </c>
      <c r="E470" t="s">
        <v>34</v>
      </c>
      <c r="F470">
        <v>1</v>
      </c>
      <c r="G470">
        <v>1</v>
      </c>
      <c r="H470">
        <v>0</v>
      </c>
      <c r="I470">
        <v>1</v>
      </c>
      <c r="J470">
        <f>VLOOKUP(B470,'Quotazioni calciatori'!N:N,1,FALSE)</f>
        <v>7457</v>
      </c>
    </row>
    <row r="471" spans="1:10" x14ac:dyDescent="0.35">
      <c r="A471" t="str">
        <f t="shared" si="7"/>
        <v>OristanioTorino</v>
      </c>
      <c r="B471">
        <v>6218</v>
      </c>
      <c r="C471" t="s">
        <v>283</v>
      </c>
      <c r="D471" t="s">
        <v>387</v>
      </c>
      <c r="E471" t="s">
        <v>34</v>
      </c>
      <c r="F471">
        <v>6</v>
      </c>
      <c r="G471">
        <v>7</v>
      </c>
      <c r="H471">
        <v>-1</v>
      </c>
      <c r="I471">
        <v>12</v>
      </c>
      <c r="J471">
        <f>VLOOKUP(B471,'Quotazioni calciatori'!N:N,1,FALSE)</f>
        <v>6218</v>
      </c>
    </row>
    <row r="472" spans="1:10" x14ac:dyDescent="0.35">
      <c r="A472" t="str">
        <f t="shared" si="7"/>
        <v>PattersonTorino</v>
      </c>
      <c r="B472">
        <v>5751</v>
      </c>
      <c r="C472" t="s">
        <v>92</v>
      </c>
      <c r="D472" t="s">
        <v>199</v>
      </c>
      <c r="E472" t="s">
        <v>34</v>
      </c>
      <c r="F472">
        <v>5</v>
      </c>
      <c r="G472">
        <v>5</v>
      </c>
      <c r="H472">
        <v>0</v>
      </c>
      <c r="I472">
        <v>10</v>
      </c>
      <c r="J472">
        <f>VLOOKUP(B472,'Quotazioni calciatori'!N:N,1,FALSE)</f>
        <v>5751</v>
      </c>
    </row>
    <row r="473" spans="1:10" x14ac:dyDescent="0.35">
      <c r="A473" t="str">
        <f t="shared" si="7"/>
        <v>PerriTorino</v>
      </c>
      <c r="B473">
        <v>6534</v>
      </c>
      <c r="C473" t="s">
        <v>8</v>
      </c>
      <c r="D473" t="s">
        <v>33</v>
      </c>
      <c r="E473" t="s">
        <v>34</v>
      </c>
      <c r="F473">
        <v>9</v>
      </c>
      <c r="G473">
        <v>9</v>
      </c>
      <c r="H473">
        <v>0</v>
      </c>
      <c r="I473">
        <v>16</v>
      </c>
      <c r="J473">
        <f>VLOOKUP(B473,'Quotazioni calciatori'!N:N,1,FALSE)</f>
        <v>6534</v>
      </c>
    </row>
    <row r="474" spans="1:10" x14ac:dyDescent="0.35">
      <c r="A474" t="str">
        <f t="shared" si="7"/>
        <v>Rodriguez R.Torino</v>
      </c>
      <c r="B474">
        <v>2169</v>
      </c>
      <c r="C474" t="s">
        <v>92</v>
      </c>
      <c r="D474" t="s">
        <v>200</v>
      </c>
      <c r="E474" t="s">
        <v>34</v>
      </c>
      <c r="F474">
        <v>5</v>
      </c>
      <c r="G474">
        <v>5</v>
      </c>
      <c r="H474">
        <v>0</v>
      </c>
      <c r="I474">
        <v>9</v>
      </c>
      <c r="J474" t="e">
        <f>VLOOKUP(B474,'Quotazioni calciatori'!N:N,1,FALSE)</f>
        <v>#N/A</v>
      </c>
    </row>
    <row r="475" spans="1:10" x14ac:dyDescent="0.35">
      <c r="A475" t="str">
        <f t="shared" si="7"/>
        <v>SimeoneTorino</v>
      </c>
      <c r="B475">
        <v>2061</v>
      </c>
      <c r="C475" t="s">
        <v>478</v>
      </c>
      <c r="D475" t="s">
        <v>505</v>
      </c>
      <c r="E475" t="s">
        <v>34</v>
      </c>
      <c r="F475">
        <v>13</v>
      </c>
      <c r="G475">
        <v>15</v>
      </c>
      <c r="H475">
        <v>-2</v>
      </c>
      <c r="I475">
        <v>58</v>
      </c>
      <c r="J475">
        <f>VLOOKUP(B475,'Quotazioni calciatori'!N:N,1,FALSE)</f>
        <v>2061</v>
      </c>
    </row>
    <row r="476" spans="1:10" x14ac:dyDescent="0.35">
      <c r="A476" t="str">
        <f t="shared" si="7"/>
        <v>SivieroTorino</v>
      </c>
      <c r="B476">
        <v>7363</v>
      </c>
      <c r="C476" t="s">
        <v>8</v>
      </c>
      <c r="D476" t="s">
        <v>78</v>
      </c>
      <c r="E476" t="s">
        <v>34</v>
      </c>
      <c r="F476">
        <v>1</v>
      </c>
      <c r="G476">
        <v>1</v>
      </c>
      <c r="H476">
        <v>0</v>
      </c>
      <c r="I476">
        <v>1</v>
      </c>
      <c r="J476">
        <f>VLOOKUP(B476,'Quotazioni calciatori'!N:N,1,FALSE)</f>
        <v>7363</v>
      </c>
    </row>
    <row r="477" spans="1:10" x14ac:dyDescent="0.35">
      <c r="A477" t="str">
        <f t="shared" si="7"/>
        <v>VlasicTorino</v>
      </c>
      <c r="B477">
        <v>5687</v>
      </c>
      <c r="C477" t="s">
        <v>283</v>
      </c>
      <c r="D477" t="s">
        <v>326</v>
      </c>
      <c r="E477" t="s">
        <v>34</v>
      </c>
      <c r="F477">
        <v>11</v>
      </c>
      <c r="G477">
        <v>14</v>
      </c>
      <c r="H477">
        <v>-3</v>
      </c>
      <c r="I477">
        <v>57</v>
      </c>
      <c r="J477">
        <f>VLOOKUP(B477,'Quotazioni calciatori'!N:N,1,FALSE)</f>
        <v>5687</v>
      </c>
    </row>
    <row r="478" spans="1:10" x14ac:dyDescent="0.35">
      <c r="A478" t="str">
        <f t="shared" si="7"/>
        <v>Zapata D.Torino</v>
      </c>
      <c r="B478">
        <v>608</v>
      </c>
      <c r="C478" t="s">
        <v>478</v>
      </c>
      <c r="D478" t="s">
        <v>542</v>
      </c>
      <c r="E478" t="s">
        <v>34</v>
      </c>
      <c r="F478">
        <v>5</v>
      </c>
      <c r="G478">
        <v>7</v>
      </c>
      <c r="H478">
        <v>-2</v>
      </c>
      <c r="I478">
        <v>10</v>
      </c>
      <c r="J478">
        <f>VLOOKUP(B478,'Quotazioni calciatori'!N:N,1,FALSE)</f>
        <v>608</v>
      </c>
    </row>
    <row r="479" spans="1:10" x14ac:dyDescent="0.35">
      <c r="A479" t="str">
        <f t="shared" si="7"/>
        <v>AbankwahUdinese</v>
      </c>
      <c r="B479">
        <v>6021</v>
      </c>
      <c r="C479" t="s">
        <v>92</v>
      </c>
      <c r="D479" t="s">
        <v>157</v>
      </c>
      <c r="E479" t="s">
        <v>36</v>
      </c>
      <c r="F479">
        <v>7</v>
      </c>
      <c r="G479">
        <v>1</v>
      </c>
      <c r="H479">
        <v>6</v>
      </c>
      <c r="I479">
        <v>14</v>
      </c>
      <c r="J479">
        <f>VLOOKUP(B479,'Quotazioni calciatori'!N:N,1,FALSE)</f>
        <v>6021</v>
      </c>
    </row>
    <row r="480" spans="1:10" x14ac:dyDescent="0.35">
      <c r="A480" t="str">
        <f t="shared" si="7"/>
        <v>ArizalaUdinese</v>
      </c>
      <c r="B480">
        <v>7312</v>
      </c>
      <c r="C480" t="s">
        <v>92</v>
      </c>
      <c r="D480" t="s">
        <v>233</v>
      </c>
      <c r="E480" t="s">
        <v>36</v>
      </c>
      <c r="F480">
        <v>3</v>
      </c>
      <c r="G480">
        <v>4</v>
      </c>
      <c r="H480">
        <v>-1</v>
      </c>
      <c r="I480">
        <v>8</v>
      </c>
      <c r="J480">
        <f>VLOOKUP(B480,'Quotazioni calciatori'!N:N,1,FALSE)</f>
        <v>7312</v>
      </c>
    </row>
    <row r="481" spans="1:10" x14ac:dyDescent="0.35">
      <c r="A481" t="str">
        <f t="shared" si="7"/>
        <v>Bayo V.Udinese</v>
      </c>
      <c r="B481">
        <v>7161</v>
      </c>
      <c r="C481" t="s">
        <v>478</v>
      </c>
      <c r="D481" t="s">
        <v>558</v>
      </c>
      <c r="E481" t="s">
        <v>36</v>
      </c>
      <c r="F481">
        <v>2</v>
      </c>
      <c r="G481">
        <v>1</v>
      </c>
      <c r="H481">
        <v>1</v>
      </c>
      <c r="I481">
        <v>3</v>
      </c>
      <c r="J481">
        <f>VLOOKUP(B481,'Quotazioni calciatori'!N:N,1,FALSE)</f>
        <v>7161</v>
      </c>
    </row>
    <row r="482" spans="1:10" x14ac:dyDescent="0.35">
      <c r="A482" t="str">
        <f t="shared" si="7"/>
        <v>BertolaUdinese</v>
      </c>
      <c r="B482">
        <v>5820</v>
      </c>
      <c r="C482" t="s">
        <v>92</v>
      </c>
      <c r="D482" t="s">
        <v>217</v>
      </c>
      <c r="E482" t="s">
        <v>36</v>
      </c>
      <c r="F482">
        <v>4</v>
      </c>
      <c r="G482">
        <v>4</v>
      </c>
      <c r="H482">
        <v>0</v>
      </c>
      <c r="I482">
        <v>9</v>
      </c>
      <c r="J482">
        <f>VLOOKUP(B482,'Quotazioni calciatori'!N:N,1,FALSE)</f>
        <v>5820</v>
      </c>
    </row>
    <row r="483" spans="1:10" x14ac:dyDescent="0.35">
      <c r="A483" t="str">
        <f t="shared" si="7"/>
        <v>ChakvetadzeUdinese</v>
      </c>
      <c r="B483">
        <v>7418</v>
      </c>
      <c r="C483" t="s">
        <v>283</v>
      </c>
      <c r="D483" t="s">
        <v>444</v>
      </c>
      <c r="E483" t="s">
        <v>36</v>
      </c>
      <c r="F483">
        <v>3</v>
      </c>
      <c r="G483">
        <v>2</v>
      </c>
      <c r="H483">
        <v>1</v>
      </c>
      <c r="I483">
        <v>6</v>
      </c>
      <c r="J483">
        <f>VLOOKUP(B483,'Quotazioni calciatori'!N:N,1,FALSE)</f>
        <v>7418</v>
      </c>
    </row>
    <row r="484" spans="1:10" x14ac:dyDescent="0.35">
      <c r="A484" t="str">
        <f t="shared" si="7"/>
        <v>Davis K.Udinese</v>
      </c>
      <c r="B484">
        <v>5637</v>
      </c>
      <c r="C484" t="s">
        <v>478</v>
      </c>
      <c r="D484" t="s">
        <v>490</v>
      </c>
      <c r="E484" t="s">
        <v>36</v>
      </c>
      <c r="F484">
        <v>19</v>
      </c>
      <c r="G484">
        <v>19</v>
      </c>
      <c r="H484">
        <v>0</v>
      </c>
      <c r="I484">
        <v>113</v>
      </c>
      <c r="J484">
        <f>VLOOKUP(B484,'Quotazioni calciatori'!N:N,1,FALSE)</f>
        <v>5637</v>
      </c>
    </row>
    <row r="485" spans="1:10" x14ac:dyDescent="0.35">
      <c r="A485" t="str">
        <f t="shared" si="7"/>
        <v>EbosseUdinese</v>
      </c>
      <c r="B485">
        <v>5994</v>
      </c>
      <c r="C485" t="s">
        <v>92</v>
      </c>
      <c r="D485" t="s">
        <v>232</v>
      </c>
      <c r="E485" t="s">
        <v>36</v>
      </c>
      <c r="F485">
        <v>3</v>
      </c>
      <c r="G485">
        <v>2</v>
      </c>
      <c r="H485">
        <v>1</v>
      </c>
      <c r="I485">
        <v>5</v>
      </c>
      <c r="J485">
        <f>VLOOKUP(B485,'Quotazioni calciatori'!N:N,1,FALSE)</f>
        <v>5994</v>
      </c>
    </row>
    <row r="486" spans="1:10" x14ac:dyDescent="0.35">
      <c r="A486" t="str">
        <f t="shared" si="7"/>
        <v>EkkelenkampUdinese</v>
      </c>
      <c r="B486">
        <v>6684</v>
      </c>
      <c r="C486" t="s">
        <v>283</v>
      </c>
      <c r="D486" t="s">
        <v>303</v>
      </c>
      <c r="E486" t="s">
        <v>36</v>
      </c>
      <c r="F486">
        <v>14</v>
      </c>
      <c r="G486">
        <v>10</v>
      </c>
      <c r="H486">
        <v>4</v>
      </c>
      <c r="I486">
        <v>64</v>
      </c>
      <c r="J486">
        <f>VLOOKUP(B486,'Quotazioni calciatori'!N:N,1,FALSE)</f>
        <v>6684</v>
      </c>
    </row>
    <row r="487" spans="1:10" x14ac:dyDescent="0.35">
      <c r="A487" t="str">
        <f t="shared" si="7"/>
        <v>GueyeUdinese</v>
      </c>
      <c r="B487">
        <v>7272</v>
      </c>
      <c r="C487" t="s">
        <v>478</v>
      </c>
      <c r="D487" t="s">
        <v>531</v>
      </c>
      <c r="E487" t="s">
        <v>36</v>
      </c>
      <c r="F487">
        <v>7</v>
      </c>
      <c r="G487">
        <v>4</v>
      </c>
      <c r="H487">
        <v>3</v>
      </c>
      <c r="I487">
        <v>10</v>
      </c>
      <c r="J487">
        <f>VLOOKUP(B487,'Quotazioni calciatori'!N:N,1,FALSE)</f>
        <v>7272</v>
      </c>
    </row>
    <row r="488" spans="1:10" x14ac:dyDescent="0.35">
      <c r="A488" t="str">
        <f t="shared" si="7"/>
        <v>JovanovicUdinese</v>
      </c>
      <c r="B488">
        <v>7092</v>
      </c>
      <c r="C488" t="s">
        <v>283</v>
      </c>
      <c r="D488" t="s">
        <v>475</v>
      </c>
      <c r="E488" t="s">
        <v>36</v>
      </c>
      <c r="F488">
        <v>1</v>
      </c>
      <c r="G488">
        <v>2</v>
      </c>
      <c r="H488">
        <v>-1</v>
      </c>
      <c r="I488">
        <v>5</v>
      </c>
      <c r="J488">
        <f>VLOOKUP(B488,'Quotazioni calciatori'!N:N,1,FALSE)</f>
        <v>7092</v>
      </c>
    </row>
    <row r="489" spans="1:10" x14ac:dyDescent="0.35">
      <c r="A489" t="str">
        <f t="shared" si="7"/>
        <v>KabaseleUdinese</v>
      </c>
      <c r="B489">
        <v>4263</v>
      </c>
      <c r="C489" t="s">
        <v>92</v>
      </c>
      <c r="D489" t="s">
        <v>231</v>
      </c>
      <c r="E489" t="s">
        <v>36</v>
      </c>
      <c r="F489">
        <v>3</v>
      </c>
      <c r="G489">
        <v>4</v>
      </c>
      <c r="H489">
        <v>-1</v>
      </c>
      <c r="I489">
        <v>10</v>
      </c>
      <c r="J489">
        <f>VLOOKUP(B489,'Quotazioni calciatori'!N:N,1,FALSE)</f>
        <v>4263</v>
      </c>
    </row>
    <row r="490" spans="1:10" x14ac:dyDescent="0.35">
      <c r="A490" t="str">
        <f t="shared" si="7"/>
        <v>Kamara H.Udinese</v>
      </c>
      <c r="B490">
        <v>5555</v>
      </c>
      <c r="C490" t="s">
        <v>92</v>
      </c>
      <c r="D490" t="s">
        <v>117</v>
      </c>
      <c r="E490" t="s">
        <v>36</v>
      </c>
      <c r="F490">
        <v>10</v>
      </c>
      <c r="G490">
        <v>6</v>
      </c>
      <c r="H490">
        <v>4</v>
      </c>
      <c r="I490">
        <v>15</v>
      </c>
      <c r="J490">
        <f>VLOOKUP(B490,'Quotazioni calciatori'!N:N,1,FALSE)</f>
        <v>5555</v>
      </c>
    </row>
    <row r="491" spans="1:10" x14ac:dyDescent="0.35">
      <c r="A491" t="str">
        <f t="shared" si="7"/>
        <v>KarlstromUdinese</v>
      </c>
      <c r="B491">
        <v>6680</v>
      </c>
      <c r="C491" t="s">
        <v>283</v>
      </c>
      <c r="D491" t="s">
        <v>344</v>
      </c>
      <c r="E491" t="s">
        <v>36</v>
      </c>
      <c r="F491">
        <v>9</v>
      </c>
      <c r="G491">
        <v>6</v>
      </c>
      <c r="H491">
        <v>3</v>
      </c>
      <c r="I491">
        <v>20</v>
      </c>
      <c r="J491">
        <f>VLOOKUP(B491,'Quotazioni calciatori'!N:N,1,FALSE)</f>
        <v>6680</v>
      </c>
    </row>
    <row r="492" spans="1:10" x14ac:dyDescent="0.35">
      <c r="A492" t="str">
        <f t="shared" si="7"/>
        <v>LovricUdinese</v>
      </c>
      <c r="B492">
        <v>5850</v>
      </c>
      <c r="C492" t="s">
        <v>283</v>
      </c>
      <c r="D492" t="s">
        <v>477</v>
      </c>
      <c r="E492" t="s">
        <v>36</v>
      </c>
      <c r="F492">
        <v>1</v>
      </c>
      <c r="G492">
        <v>1</v>
      </c>
      <c r="H492">
        <v>0</v>
      </c>
      <c r="I492">
        <v>1</v>
      </c>
      <c r="J492">
        <f>VLOOKUP(B492,'Quotazioni calciatori'!N:N,1,FALSE)</f>
        <v>5850</v>
      </c>
    </row>
    <row r="493" spans="1:10" x14ac:dyDescent="0.35">
      <c r="A493" t="str">
        <f t="shared" si="7"/>
        <v>Miller L.Udinese</v>
      </c>
      <c r="B493">
        <v>7208</v>
      </c>
      <c r="C493" t="s">
        <v>283</v>
      </c>
      <c r="D493" t="s">
        <v>431</v>
      </c>
      <c r="E493" t="s">
        <v>36</v>
      </c>
      <c r="F493">
        <v>4</v>
      </c>
      <c r="G493">
        <v>3</v>
      </c>
      <c r="H493">
        <v>1</v>
      </c>
      <c r="I493">
        <v>12</v>
      </c>
      <c r="J493">
        <f>VLOOKUP(B493,'Quotazioni calciatori'!N:N,1,FALSE)</f>
        <v>7208</v>
      </c>
    </row>
    <row r="494" spans="1:10" x14ac:dyDescent="0.35">
      <c r="A494" t="str">
        <f t="shared" si="7"/>
        <v>MrozekUdinese</v>
      </c>
      <c r="B494">
        <v>7611</v>
      </c>
      <c r="C494" t="s">
        <v>8</v>
      </c>
      <c r="D494" t="s">
        <v>89</v>
      </c>
      <c r="E494" t="s">
        <v>36</v>
      </c>
      <c r="F494">
        <v>1</v>
      </c>
      <c r="G494">
        <v>1</v>
      </c>
      <c r="H494">
        <v>0</v>
      </c>
      <c r="I494">
        <v>1</v>
      </c>
      <c r="J494">
        <f>VLOOKUP(B494,'Quotazioni calciatori'!N:N,1,FALSE)</f>
        <v>7611</v>
      </c>
    </row>
    <row r="495" spans="1:10" x14ac:dyDescent="0.35">
      <c r="A495" t="str">
        <f t="shared" si="7"/>
        <v>OkoyeUdinese</v>
      </c>
      <c r="B495">
        <v>6462</v>
      </c>
      <c r="C495" t="s">
        <v>8</v>
      </c>
      <c r="D495" t="s">
        <v>35</v>
      </c>
      <c r="E495" t="s">
        <v>36</v>
      </c>
      <c r="F495">
        <v>8</v>
      </c>
      <c r="G495">
        <v>9</v>
      </c>
      <c r="H495">
        <v>-1</v>
      </c>
      <c r="I495">
        <v>25</v>
      </c>
      <c r="J495">
        <f>VLOOKUP(B495,'Quotazioni calciatori'!N:N,1,FALSE)</f>
        <v>6462</v>
      </c>
    </row>
    <row r="496" spans="1:10" x14ac:dyDescent="0.35">
      <c r="A496" t="str">
        <f t="shared" si="7"/>
        <v>PadelliUdinese</v>
      </c>
      <c r="B496">
        <v>543</v>
      </c>
      <c r="C496" t="s">
        <v>8</v>
      </c>
      <c r="D496" t="s">
        <v>79</v>
      </c>
      <c r="E496" t="s">
        <v>36</v>
      </c>
      <c r="F496">
        <v>1</v>
      </c>
      <c r="G496">
        <v>1</v>
      </c>
      <c r="H496">
        <v>0</v>
      </c>
      <c r="I496">
        <v>1</v>
      </c>
      <c r="J496">
        <f>VLOOKUP(B496,'Quotazioni calciatori'!N:N,1,FALSE)</f>
        <v>543</v>
      </c>
    </row>
    <row r="497" spans="1:10" x14ac:dyDescent="0.35">
      <c r="A497" t="str">
        <f t="shared" si="7"/>
        <v>PalmaUdinese</v>
      </c>
      <c r="B497">
        <v>6925</v>
      </c>
      <c r="C497" t="s">
        <v>92</v>
      </c>
      <c r="D497" t="s">
        <v>248</v>
      </c>
      <c r="E497" t="s">
        <v>36</v>
      </c>
      <c r="F497">
        <v>2</v>
      </c>
      <c r="G497">
        <v>2</v>
      </c>
      <c r="H497">
        <v>0</v>
      </c>
      <c r="I497">
        <v>8</v>
      </c>
      <c r="J497">
        <f>VLOOKUP(B497,'Quotazioni calciatori'!N:N,1,FALSE)</f>
        <v>6925</v>
      </c>
    </row>
    <row r="498" spans="1:10" x14ac:dyDescent="0.35">
      <c r="A498" t="str">
        <f t="shared" si="7"/>
        <v>PiotrowskiUdinese</v>
      </c>
      <c r="B498">
        <v>7198</v>
      </c>
      <c r="C498" t="s">
        <v>283</v>
      </c>
      <c r="D498" t="s">
        <v>388</v>
      </c>
      <c r="E498" t="s">
        <v>36</v>
      </c>
      <c r="F498">
        <v>6</v>
      </c>
      <c r="G498">
        <v>5</v>
      </c>
      <c r="H498">
        <v>1</v>
      </c>
      <c r="I498">
        <v>12</v>
      </c>
      <c r="J498">
        <f>VLOOKUP(B498,'Quotazioni calciatori'!N:N,1,FALSE)</f>
        <v>7198</v>
      </c>
    </row>
    <row r="499" spans="1:10" x14ac:dyDescent="0.35">
      <c r="A499" t="str">
        <f t="shared" si="7"/>
        <v>SoletUdinese</v>
      </c>
      <c r="B499">
        <v>6956</v>
      </c>
      <c r="C499" t="s">
        <v>92</v>
      </c>
      <c r="D499" t="s">
        <v>108</v>
      </c>
      <c r="E499" t="s">
        <v>36</v>
      </c>
      <c r="F499">
        <v>12</v>
      </c>
      <c r="G499">
        <v>13</v>
      </c>
      <c r="H499">
        <v>-1</v>
      </c>
      <c r="I499">
        <v>30</v>
      </c>
      <c r="J499">
        <f>VLOOKUP(B499,'Quotazioni calciatori'!N:N,1,FALSE)</f>
        <v>6956</v>
      </c>
    </row>
    <row r="500" spans="1:10" x14ac:dyDescent="0.35">
      <c r="A500" t="str">
        <f t="shared" si="7"/>
        <v>Unai GomezUdinese</v>
      </c>
      <c r="B500">
        <v>6783</v>
      </c>
      <c r="C500" t="s">
        <v>283</v>
      </c>
      <c r="D500" t="s">
        <v>389</v>
      </c>
      <c r="E500" t="s">
        <v>36</v>
      </c>
      <c r="F500">
        <v>6</v>
      </c>
      <c r="G500">
        <v>7</v>
      </c>
      <c r="H500">
        <v>-1</v>
      </c>
      <c r="I500">
        <v>13</v>
      </c>
      <c r="J500">
        <f>VLOOKUP(B500,'Quotazioni calciatori'!N:N,1,FALSE)</f>
        <v>6783</v>
      </c>
    </row>
    <row r="501" spans="1:10" x14ac:dyDescent="0.35">
      <c r="A501" t="str">
        <f t="shared" si="7"/>
        <v>VojvodaUdinese</v>
      </c>
      <c r="B501">
        <v>4994</v>
      </c>
      <c r="C501" t="s">
        <v>92</v>
      </c>
      <c r="D501" t="s">
        <v>141</v>
      </c>
      <c r="E501" t="s">
        <v>36</v>
      </c>
      <c r="F501">
        <v>8</v>
      </c>
      <c r="G501">
        <v>8</v>
      </c>
      <c r="H501">
        <v>0</v>
      </c>
      <c r="I501">
        <v>18</v>
      </c>
      <c r="J501">
        <f>VLOOKUP(B501,'Quotazioni calciatori'!N:N,1,FALSE)</f>
        <v>4994</v>
      </c>
    </row>
    <row r="502" spans="1:10" x14ac:dyDescent="0.35">
      <c r="A502" t="str">
        <f t="shared" si="7"/>
        <v>ZanioloUdinese</v>
      </c>
      <c r="B502">
        <v>2766</v>
      </c>
      <c r="C502" t="s">
        <v>283</v>
      </c>
      <c r="D502" t="s">
        <v>296</v>
      </c>
      <c r="E502" t="s">
        <v>36</v>
      </c>
      <c r="F502">
        <v>16</v>
      </c>
      <c r="G502">
        <v>18</v>
      </c>
      <c r="H502">
        <v>-2</v>
      </c>
      <c r="I502">
        <v>71</v>
      </c>
      <c r="J502">
        <f>VLOOKUP(B502,'Quotazioni calciatori'!N:N,1,FALSE)</f>
        <v>2766</v>
      </c>
    </row>
    <row r="503" spans="1:10" x14ac:dyDescent="0.35">
      <c r="A503" t="str">
        <f t="shared" si="7"/>
        <v>ZanoliUdinese</v>
      </c>
      <c r="B503">
        <v>5527</v>
      </c>
      <c r="C503" t="s">
        <v>92</v>
      </c>
      <c r="D503" t="s">
        <v>195</v>
      </c>
      <c r="E503" t="s">
        <v>36</v>
      </c>
      <c r="F503">
        <v>5</v>
      </c>
      <c r="G503">
        <v>4</v>
      </c>
      <c r="H503">
        <v>1</v>
      </c>
      <c r="I503">
        <v>10</v>
      </c>
      <c r="J503">
        <f>VLOOKUP(B503,'Quotazioni calciatori'!N:N,1,FALSE)</f>
        <v>5527</v>
      </c>
    </row>
    <row r="504" spans="1:10" x14ac:dyDescent="0.35">
      <c r="A504" t="str">
        <f t="shared" si="7"/>
        <v>ZarragaUdinese</v>
      </c>
      <c r="B504">
        <v>6212</v>
      </c>
      <c r="C504" t="s">
        <v>283</v>
      </c>
      <c r="D504" t="s">
        <v>468</v>
      </c>
      <c r="E504" t="s">
        <v>36</v>
      </c>
      <c r="F504">
        <v>1</v>
      </c>
      <c r="G504">
        <v>1</v>
      </c>
      <c r="H504">
        <v>0</v>
      </c>
      <c r="I504">
        <v>4</v>
      </c>
      <c r="J504">
        <f>VLOOKUP(B504,'Quotazioni calciatori'!N:N,1,FALSE)</f>
        <v>6212</v>
      </c>
    </row>
    <row r="505" spans="1:10" x14ac:dyDescent="0.35">
      <c r="A505" t="str">
        <f t="shared" si="7"/>
        <v>Adams A.Venezia</v>
      </c>
      <c r="B505">
        <v>7484</v>
      </c>
      <c r="C505" t="s">
        <v>478</v>
      </c>
      <c r="D505" t="s">
        <v>510</v>
      </c>
      <c r="E505" t="s">
        <v>48</v>
      </c>
      <c r="F505">
        <v>12</v>
      </c>
      <c r="G505">
        <v>12</v>
      </c>
      <c r="H505">
        <v>0</v>
      </c>
      <c r="I505">
        <v>33</v>
      </c>
      <c r="J505">
        <f>VLOOKUP(B505,'Quotazioni calciatori'!N:N,1,FALSE)</f>
        <v>7484</v>
      </c>
    </row>
    <row r="506" spans="1:10" x14ac:dyDescent="0.35">
      <c r="A506" t="str">
        <f t="shared" si="7"/>
        <v>AdoranteVenezia</v>
      </c>
      <c r="B506">
        <v>4387</v>
      </c>
      <c r="C506" t="s">
        <v>478</v>
      </c>
      <c r="D506" t="s">
        <v>549</v>
      </c>
      <c r="E506" t="s">
        <v>48</v>
      </c>
      <c r="F506">
        <v>4</v>
      </c>
      <c r="G506">
        <v>5</v>
      </c>
      <c r="H506">
        <v>-1</v>
      </c>
      <c r="I506">
        <v>4</v>
      </c>
      <c r="J506">
        <f>VLOOKUP(B506,'Quotazioni calciatori'!N:N,1,FALSE)</f>
        <v>4387</v>
      </c>
    </row>
    <row r="507" spans="1:10" x14ac:dyDescent="0.35">
      <c r="A507" t="str">
        <f t="shared" si="7"/>
        <v>BasicVenezia</v>
      </c>
      <c r="B507">
        <v>5674</v>
      </c>
      <c r="C507" t="s">
        <v>283</v>
      </c>
      <c r="D507" t="s">
        <v>405</v>
      </c>
      <c r="E507" t="s">
        <v>48</v>
      </c>
      <c r="F507">
        <v>5</v>
      </c>
      <c r="G507">
        <v>6</v>
      </c>
      <c r="H507">
        <v>-1</v>
      </c>
      <c r="I507">
        <v>13</v>
      </c>
      <c r="J507">
        <f>VLOOKUP(B507,'Quotazioni calciatori'!N:N,1,FALSE)</f>
        <v>5674</v>
      </c>
    </row>
    <row r="508" spans="1:10" x14ac:dyDescent="0.35">
      <c r="A508" t="str">
        <f t="shared" si="7"/>
        <v>Bella-KotchapVenezia</v>
      </c>
      <c r="B508">
        <v>7253</v>
      </c>
      <c r="C508" t="s">
        <v>92</v>
      </c>
      <c r="D508" t="s">
        <v>218</v>
      </c>
      <c r="E508" t="s">
        <v>48</v>
      </c>
      <c r="F508">
        <v>4</v>
      </c>
      <c r="G508">
        <v>6</v>
      </c>
      <c r="H508">
        <v>-2</v>
      </c>
      <c r="I508">
        <v>11</v>
      </c>
      <c r="J508">
        <f>VLOOKUP(B508,'Quotazioni calciatori'!N:N,1,FALSE)</f>
        <v>7253</v>
      </c>
    </row>
    <row r="509" spans="1:10" x14ac:dyDescent="0.35">
      <c r="A509" t="str">
        <f t="shared" si="7"/>
        <v>BusioVenezia</v>
      </c>
      <c r="B509">
        <v>5507</v>
      </c>
      <c r="C509" t="s">
        <v>283</v>
      </c>
      <c r="D509" t="s">
        <v>371</v>
      </c>
      <c r="E509" t="s">
        <v>48</v>
      </c>
      <c r="F509">
        <v>7</v>
      </c>
      <c r="G509">
        <v>5</v>
      </c>
      <c r="H509">
        <v>2</v>
      </c>
      <c r="I509">
        <v>14</v>
      </c>
      <c r="J509">
        <f>VLOOKUP(B509,'Quotazioni calciatori'!N:N,1,FALSE)</f>
        <v>5507</v>
      </c>
    </row>
    <row r="510" spans="1:10" x14ac:dyDescent="0.35">
      <c r="A510" t="str">
        <f t="shared" si="7"/>
        <v>Correia T.Venezia</v>
      </c>
      <c r="B510">
        <v>4845</v>
      </c>
      <c r="C510" t="s">
        <v>92</v>
      </c>
      <c r="D510" t="s">
        <v>170</v>
      </c>
      <c r="E510" t="s">
        <v>48</v>
      </c>
      <c r="F510">
        <v>6</v>
      </c>
      <c r="G510">
        <v>4</v>
      </c>
      <c r="H510">
        <v>2</v>
      </c>
      <c r="I510">
        <v>8</v>
      </c>
      <c r="J510">
        <f>VLOOKUP(B510,'Quotazioni calciatori'!N:N,1,FALSE)</f>
        <v>4845</v>
      </c>
    </row>
    <row r="511" spans="1:10" x14ac:dyDescent="0.35">
      <c r="A511" t="str">
        <f t="shared" si="7"/>
        <v>DagassoVenezia</v>
      </c>
      <c r="B511">
        <v>7481</v>
      </c>
      <c r="C511" t="s">
        <v>283</v>
      </c>
      <c r="D511" t="s">
        <v>469</v>
      </c>
      <c r="E511" t="s">
        <v>48</v>
      </c>
      <c r="F511">
        <v>1</v>
      </c>
      <c r="G511">
        <v>1</v>
      </c>
      <c r="H511">
        <v>0</v>
      </c>
      <c r="I511">
        <v>1</v>
      </c>
      <c r="J511">
        <f>VLOOKUP(B511,'Quotazioni calciatori'!N:N,1,FALSE)</f>
        <v>7481</v>
      </c>
    </row>
    <row r="512" spans="1:10" x14ac:dyDescent="0.35">
      <c r="A512" t="str">
        <f t="shared" si="7"/>
        <v>DuncanVenezia</v>
      </c>
      <c r="B512">
        <v>526</v>
      </c>
      <c r="C512" t="s">
        <v>283</v>
      </c>
      <c r="D512" t="s">
        <v>470</v>
      </c>
      <c r="E512" t="s">
        <v>48</v>
      </c>
      <c r="F512">
        <v>1</v>
      </c>
      <c r="G512">
        <v>2</v>
      </c>
      <c r="H512">
        <v>-1</v>
      </c>
      <c r="I512">
        <v>4</v>
      </c>
      <c r="J512">
        <f>VLOOKUP(B512,'Quotazioni calciatori'!N:N,1,FALSE)</f>
        <v>526</v>
      </c>
    </row>
    <row r="513" spans="1:10" x14ac:dyDescent="0.35">
      <c r="A513" t="str">
        <f t="shared" si="7"/>
        <v>Fernandez T.Venezia</v>
      </c>
      <c r="B513">
        <v>7232</v>
      </c>
      <c r="C513" t="s">
        <v>283</v>
      </c>
      <c r="D513" t="s">
        <v>447</v>
      </c>
      <c r="E513" t="s">
        <v>48</v>
      </c>
      <c r="F513">
        <v>3</v>
      </c>
      <c r="G513">
        <v>3</v>
      </c>
      <c r="H513">
        <v>0</v>
      </c>
      <c r="I513">
        <v>8</v>
      </c>
      <c r="J513">
        <f>VLOOKUP(B513,'Quotazioni calciatori'!N:N,1,FALSE)</f>
        <v>7232</v>
      </c>
    </row>
    <row r="514" spans="1:10" x14ac:dyDescent="0.35">
      <c r="A514" t="str">
        <f t="shared" ref="A514:A535" si="8">CONCATENATE(D514,E514)</f>
        <v>FranjicVenezia</v>
      </c>
      <c r="B514">
        <v>7478</v>
      </c>
      <c r="C514" t="s">
        <v>92</v>
      </c>
      <c r="D514" t="s">
        <v>252</v>
      </c>
      <c r="E514" t="s">
        <v>48</v>
      </c>
      <c r="F514">
        <v>2</v>
      </c>
      <c r="G514">
        <v>2</v>
      </c>
      <c r="H514">
        <v>0</v>
      </c>
      <c r="I514">
        <v>6</v>
      </c>
      <c r="J514">
        <f>VLOOKUP(B514,'Quotazioni calciatori'!N:N,1,FALSE)</f>
        <v>7478</v>
      </c>
    </row>
    <row r="515" spans="1:10" x14ac:dyDescent="0.35">
      <c r="A515" t="str">
        <f t="shared" si="8"/>
        <v>GomesVenezia</v>
      </c>
      <c r="B515">
        <v>7454</v>
      </c>
      <c r="C515" t="s">
        <v>92</v>
      </c>
      <c r="D515" t="s">
        <v>276</v>
      </c>
      <c r="E515" t="s">
        <v>48</v>
      </c>
      <c r="F515">
        <v>1</v>
      </c>
      <c r="G515">
        <v>1</v>
      </c>
      <c r="H515">
        <v>0</v>
      </c>
      <c r="I515">
        <v>1</v>
      </c>
      <c r="J515" t="e">
        <f>VLOOKUP(B515,'Quotazioni calciatori'!N:N,1,FALSE)</f>
        <v>#N/A</v>
      </c>
    </row>
    <row r="516" spans="1:10" x14ac:dyDescent="0.35">
      <c r="A516" t="str">
        <f t="shared" si="8"/>
        <v>GrandiVenezia</v>
      </c>
      <c r="B516">
        <v>6671</v>
      </c>
      <c r="C516" t="s">
        <v>8</v>
      </c>
      <c r="D516" t="s">
        <v>80</v>
      </c>
      <c r="E516" t="s">
        <v>48</v>
      </c>
      <c r="F516">
        <v>1</v>
      </c>
      <c r="G516">
        <v>1</v>
      </c>
      <c r="H516">
        <v>0</v>
      </c>
      <c r="I516">
        <v>1</v>
      </c>
      <c r="J516">
        <f>VLOOKUP(B516,'Quotazioni calciatori'!N:N,1,FALSE)</f>
        <v>6671</v>
      </c>
    </row>
    <row r="517" spans="1:10" x14ac:dyDescent="0.35">
      <c r="A517" t="str">
        <f t="shared" si="8"/>
        <v>HainautVenezia</v>
      </c>
      <c r="B517">
        <v>6821</v>
      </c>
      <c r="C517" t="s">
        <v>92</v>
      </c>
      <c r="D517" t="s">
        <v>142</v>
      </c>
      <c r="E517" t="s">
        <v>48</v>
      </c>
      <c r="F517">
        <v>8</v>
      </c>
      <c r="G517">
        <v>3</v>
      </c>
      <c r="H517">
        <v>5</v>
      </c>
      <c r="I517">
        <v>12</v>
      </c>
      <c r="J517">
        <f>VLOOKUP(B517,'Quotazioni calciatori'!N:N,1,FALSE)</f>
        <v>6821</v>
      </c>
    </row>
    <row r="518" spans="1:10" x14ac:dyDescent="0.35">
      <c r="A518" t="str">
        <f t="shared" si="8"/>
        <v>HalhalVenezia</v>
      </c>
      <c r="B518">
        <v>7538</v>
      </c>
      <c r="C518" t="s">
        <v>92</v>
      </c>
      <c r="D518" t="s">
        <v>249</v>
      </c>
      <c r="E518" t="s">
        <v>48</v>
      </c>
      <c r="F518">
        <v>2</v>
      </c>
      <c r="G518">
        <v>4</v>
      </c>
      <c r="H518">
        <v>-2</v>
      </c>
      <c r="I518">
        <v>7</v>
      </c>
      <c r="J518">
        <f>VLOOKUP(B518,'Quotazioni calciatori'!N:N,1,FALSE)</f>
        <v>7538</v>
      </c>
    </row>
    <row r="519" spans="1:10" x14ac:dyDescent="0.35">
      <c r="A519" t="str">
        <f t="shared" si="8"/>
        <v>HapsVenezia</v>
      </c>
      <c r="B519">
        <v>5695</v>
      </c>
      <c r="C519" t="s">
        <v>92</v>
      </c>
      <c r="D519" t="s">
        <v>196</v>
      </c>
      <c r="E519" t="s">
        <v>48</v>
      </c>
      <c r="F519">
        <v>5</v>
      </c>
      <c r="G519">
        <v>5</v>
      </c>
      <c r="H519">
        <v>0</v>
      </c>
      <c r="I519">
        <v>9</v>
      </c>
      <c r="J519">
        <f>VLOOKUP(B519,'Quotazioni calciatori'!N:N,1,FALSE)</f>
        <v>5695</v>
      </c>
    </row>
    <row r="520" spans="1:10" x14ac:dyDescent="0.35">
      <c r="A520" t="str">
        <f t="shared" si="8"/>
        <v>HelgasonVenezia</v>
      </c>
      <c r="B520">
        <v>5872</v>
      </c>
      <c r="C520" t="s">
        <v>283</v>
      </c>
      <c r="D520" t="s">
        <v>455</v>
      </c>
      <c r="E520" t="s">
        <v>48</v>
      </c>
      <c r="F520">
        <v>2</v>
      </c>
      <c r="G520">
        <v>3</v>
      </c>
      <c r="H520">
        <v>-1</v>
      </c>
      <c r="I520">
        <v>3</v>
      </c>
      <c r="J520">
        <f>VLOOKUP(B520,'Quotazioni calciatori'!N:N,1,FALSE)</f>
        <v>5872</v>
      </c>
    </row>
    <row r="521" spans="1:10" x14ac:dyDescent="0.35">
      <c r="A521" t="str">
        <f t="shared" si="8"/>
        <v>Juan JesusVenezia</v>
      </c>
      <c r="B521">
        <v>256</v>
      </c>
      <c r="C521" t="s">
        <v>92</v>
      </c>
      <c r="D521" t="s">
        <v>221</v>
      </c>
      <c r="E521" t="s">
        <v>48</v>
      </c>
      <c r="F521">
        <v>4</v>
      </c>
      <c r="G521">
        <v>4</v>
      </c>
      <c r="H521">
        <v>0</v>
      </c>
      <c r="I521">
        <v>10</v>
      </c>
      <c r="J521">
        <f>VLOOKUP(B521,'Quotazioni calciatori'!N:N,1,FALSE)</f>
        <v>256</v>
      </c>
    </row>
    <row r="522" spans="1:10" x14ac:dyDescent="0.35">
      <c r="A522" t="str">
        <f t="shared" si="8"/>
        <v>LauberbachVenezia</v>
      </c>
      <c r="B522">
        <v>7482</v>
      </c>
      <c r="C522" t="s">
        <v>478</v>
      </c>
      <c r="D522" t="s">
        <v>559</v>
      </c>
      <c r="E522" t="s">
        <v>48</v>
      </c>
      <c r="F522">
        <v>2</v>
      </c>
      <c r="G522">
        <v>1</v>
      </c>
      <c r="H522">
        <v>1</v>
      </c>
      <c r="I522">
        <v>1</v>
      </c>
      <c r="J522">
        <f>VLOOKUP(B522,'Quotazioni calciatori'!N:N,1,FALSE)</f>
        <v>7482</v>
      </c>
    </row>
    <row r="523" spans="1:10" x14ac:dyDescent="0.35">
      <c r="A523" t="str">
        <f t="shared" si="8"/>
        <v>LismanVenezia</v>
      </c>
      <c r="B523">
        <v>7408</v>
      </c>
      <c r="C523" t="s">
        <v>478</v>
      </c>
      <c r="D523" t="s">
        <v>562</v>
      </c>
      <c r="E523" t="s">
        <v>48</v>
      </c>
      <c r="F523">
        <v>1</v>
      </c>
      <c r="G523">
        <v>1</v>
      </c>
      <c r="H523">
        <v>0</v>
      </c>
      <c r="I523">
        <v>1</v>
      </c>
      <c r="J523">
        <f>VLOOKUP(B523,'Quotazioni calciatori'!N:N,1,FALSE)</f>
        <v>7408</v>
      </c>
    </row>
    <row r="524" spans="1:10" x14ac:dyDescent="0.35">
      <c r="A524" t="str">
        <f t="shared" si="8"/>
        <v>MazzocchiVenezia</v>
      </c>
      <c r="B524">
        <v>5481</v>
      </c>
      <c r="C524" t="s">
        <v>92</v>
      </c>
      <c r="D524" t="s">
        <v>270</v>
      </c>
      <c r="E524" t="s">
        <v>48</v>
      </c>
      <c r="F524">
        <v>1</v>
      </c>
      <c r="G524">
        <v>1</v>
      </c>
      <c r="H524">
        <v>0</v>
      </c>
      <c r="I524">
        <v>10</v>
      </c>
      <c r="J524">
        <f>VLOOKUP(B524,'Quotazioni calciatori'!N:N,1,FALSE)</f>
        <v>5481</v>
      </c>
    </row>
    <row r="525" spans="1:10" x14ac:dyDescent="0.35">
      <c r="A525" t="str">
        <f t="shared" si="8"/>
        <v>MontipòVenezia</v>
      </c>
      <c r="B525">
        <v>4957</v>
      </c>
      <c r="C525" t="s">
        <v>8</v>
      </c>
      <c r="D525" t="s">
        <v>86</v>
      </c>
      <c r="E525" t="s">
        <v>48</v>
      </c>
      <c r="F525">
        <v>1</v>
      </c>
      <c r="G525">
        <v>1</v>
      </c>
      <c r="H525">
        <v>0</v>
      </c>
      <c r="I525">
        <v>1</v>
      </c>
      <c r="J525" t="e">
        <f>VLOOKUP(B525,'Quotazioni calciatori'!N:N,1,FALSE)</f>
        <v>#N/A</v>
      </c>
    </row>
    <row r="526" spans="1:10" x14ac:dyDescent="0.35">
      <c r="A526" t="str">
        <f t="shared" si="8"/>
        <v>Moreno M.Venezia</v>
      </c>
      <c r="B526">
        <v>6890</v>
      </c>
      <c r="C526" t="s">
        <v>92</v>
      </c>
      <c r="D526" t="s">
        <v>219</v>
      </c>
      <c r="E526" t="s">
        <v>48</v>
      </c>
      <c r="F526">
        <v>4</v>
      </c>
      <c r="G526">
        <v>5</v>
      </c>
      <c r="H526">
        <v>-1</v>
      </c>
      <c r="I526">
        <v>6</v>
      </c>
      <c r="J526">
        <f>VLOOKUP(B526,'Quotazioni calciatori'!N:N,1,FALSE)</f>
        <v>6890</v>
      </c>
    </row>
    <row r="527" spans="1:10" x14ac:dyDescent="0.35">
      <c r="A527" t="str">
        <f t="shared" si="8"/>
        <v>Perez K.Venezia</v>
      </c>
      <c r="B527">
        <v>6994</v>
      </c>
      <c r="C527" t="s">
        <v>283</v>
      </c>
      <c r="D527" t="s">
        <v>407</v>
      </c>
      <c r="E527" t="s">
        <v>48</v>
      </c>
      <c r="F527">
        <v>5</v>
      </c>
      <c r="G527">
        <v>5</v>
      </c>
      <c r="H527">
        <v>0</v>
      </c>
      <c r="I527">
        <v>14</v>
      </c>
      <c r="J527">
        <f>VLOOKUP(B527,'Quotazioni calciatori'!N:N,1,FALSE)</f>
        <v>6994</v>
      </c>
    </row>
    <row r="528" spans="1:10" x14ac:dyDescent="0.35">
      <c r="A528" t="str">
        <f t="shared" si="8"/>
        <v>PozziVenezia</v>
      </c>
      <c r="B528">
        <v>7531</v>
      </c>
      <c r="C528" t="s">
        <v>8</v>
      </c>
      <c r="D528" t="s">
        <v>81</v>
      </c>
      <c r="E528" t="s">
        <v>48</v>
      </c>
      <c r="F528">
        <v>1</v>
      </c>
      <c r="G528">
        <v>1</v>
      </c>
      <c r="H528">
        <v>0</v>
      </c>
      <c r="I528">
        <v>1</v>
      </c>
      <c r="J528">
        <f>VLOOKUP(B528,'Quotazioni calciatori'!N:N,1,FALSE)</f>
        <v>7531</v>
      </c>
    </row>
    <row r="529" spans="1:10" x14ac:dyDescent="0.35">
      <c r="A529" t="str">
        <f t="shared" si="8"/>
        <v>Rrahmani Al.Venezia</v>
      </c>
      <c r="B529">
        <v>7449</v>
      </c>
      <c r="C529" t="s">
        <v>478</v>
      </c>
      <c r="D529" t="s">
        <v>538</v>
      </c>
      <c r="E529" t="s">
        <v>48</v>
      </c>
      <c r="F529">
        <v>6</v>
      </c>
      <c r="G529">
        <v>8</v>
      </c>
      <c r="H529">
        <v>-2</v>
      </c>
      <c r="I529">
        <v>9</v>
      </c>
      <c r="J529">
        <f>VLOOKUP(B529,'Quotazioni calciatori'!N:N,1,FALSE)</f>
        <v>7449</v>
      </c>
    </row>
    <row r="530" spans="1:10" x14ac:dyDescent="0.35">
      <c r="A530" t="str">
        <f t="shared" si="8"/>
        <v>SagradoVenezia</v>
      </c>
      <c r="B530">
        <v>6681</v>
      </c>
      <c r="C530" t="s">
        <v>92</v>
      </c>
      <c r="D530" t="s">
        <v>234</v>
      </c>
      <c r="E530" t="s">
        <v>48</v>
      </c>
      <c r="F530">
        <v>3</v>
      </c>
      <c r="G530">
        <v>2</v>
      </c>
      <c r="H530">
        <v>1</v>
      </c>
      <c r="I530">
        <v>4</v>
      </c>
      <c r="J530">
        <f>VLOOKUP(B530,'Quotazioni calciatori'!N:N,1,FALSE)</f>
        <v>6681</v>
      </c>
    </row>
    <row r="531" spans="1:10" x14ac:dyDescent="0.35">
      <c r="A531" t="str">
        <f t="shared" si="8"/>
        <v>SchingtienneVenezia</v>
      </c>
      <c r="B531">
        <v>6892</v>
      </c>
      <c r="C531" t="s">
        <v>92</v>
      </c>
      <c r="D531" t="s">
        <v>250</v>
      </c>
      <c r="E531" t="s">
        <v>48</v>
      </c>
      <c r="F531">
        <v>2</v>
      </c>
      <c r="G531">
        <v>3</v>
      </c>
      <c r="H531">
        <v>-1</v>
      </c>
      <c r="I531">
        <v>10</v>
      </c>
      <c r="J531">
        <f>VLOOKUP(B531,'Quotazioni calciatori'!N:N,1,FALSE)</f>
        <v>6892</v>
      </c>
    </row>
    <row r="532" spans="1:10" x14ac:dyDescent="0.35">
      <c r="A532" t="str">
        <f t="shared" si="8"/>
        <v>SohmVenezia</v>
      </c>
      <c r="B532">
        <v>5319</v>
      </c>
      <c r="C532" t="s">
        <v>283</v>
      </c>
      <c r="D532" t="s">
        <v>406</v>
      </c>
      <c r="E532" t="s">
        <v>48</v>
      </c>
      <c r="F532">
        <v>5</v>
      </c>
      <c r="G532">
        <v>5</v>
      </c>
      <c r="H532">
        <v>0</v>
      </c>
      <c r="I532">
        <v>10</v>
      </c>
      <c r="J532">
        <f>VLOOKUP(B532,'Quotazioni calciatori'!N:N,1,FALSE)</f>
        <v>5319</v>
      </c>
    </row>
    <row r="533" spans="1:10" x14ac:dyDescent="0.35">
      <c r="A533" t="str">
        <f t="shared" si="8"/>
        <v>Stankovic F.Venezia</v>
      </c>
      <c r="B533">
        <v>6248</v>
      </c>
      <c r="C533" t="s">
        <v>8</v>
      </c>
      <c r="D533" t="s">
        <v>47</v>
      </c>
      <c r="E533" t="s">
        <v>48</v>
      </c>
      <c r="F533">
        <v>5</v>
      </c>
      <c r="G533">
        <v>6</v>
      </c>
      <c r="H533">
        <v>-1</v>
      </c>
      <c r="I533">
        <v>8</v>
      </c>
      <c r="J533">
        <f>VLOOKUP(B533,'Quotazioni calciatori'!N:N,1,FALSE)</f>
        <v>6248</v>
      </c>
    </row>
    <row r="534" spans="1:10" x14ac:dyDescent="0.35">
      <c r="A534" t="str">
        <f t="shared" si="8"/>
        <v>SverkoVenezia</v>
      </c>
      <c r="B534">
        <v>6673</v>
      </c>
      <c r="C534" t="s">
        <v>92</v>
      </c>
      <c r="D534" t="s">
        <v>251</v>
      </c>
      <c r="E534" t="s">
        <v>48</v>
      </c>
      <c r="F534">
        <v>2</v>
      </c>
      <c r="G534">
        <v>3</v>
      </c>
      <c r="H534">
        <v>-1</v>
      </c>
      <c r="I534">
        <v>7</v>
      </c>
      <c r="J534">
        <f>VLOOKUP(B534,'Quotazioni calciatori'!N:N,1,FALSE)</f>
        <v>6673</v>
      </c>
    </row>
    <row r="535" spans="1:10" x14ac:dyDescent="0.35">
      <c r="A535" t="str">
        <f t="shared" si="8"/>
        <v>Yeboah J.Venezia</v>
      </c>
      <c r="B535">
        <v>6904</v>
      </c>
      <c r="C535" t="s">
        <v>478</v>
      </c>
      <c r="D535" t="s">
        <v>526</v>
      </c>
      <c r="E535" t="s">
        <v>48</v>
      </c>
      <c r="F535">
        <v>8</v>
      </c>
      <c r="G535">
        <v>8</v>
      </c>
      <c r="H535">
        <v>0</v>
      </c>
      <c r="I535">
        <v>27</v>
      </c>
      <c r="J535">
        <f>VLOOKUP(B535,'Quotazioni calciatori'!N:N,1,FALSE)</f>
        <v>6904</v>
      </c>
    </row>
  </sheetData>
  <autoFilter ref="A1:J535" xr:uid="{00000000-0001-0000-0000-000000000000}"/>
  <sortState xmlns:xlrd2="http://schemas.microsoft.com/office/spreadsheetml/2017/richdata2" ref="B2:I535">
    <sortCondition ref="E2:E535"/>
    <sortCondition ref="D2:D5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DFE0-D4FB-4682-A1C3-4BE8192761C6}">
  <dimension ref="A1:G198"/>
  <sheetViews>
    <sheetView tabSelected="1" workbookViewId="0">
      <selection activeCell="G2" sqref="G2"/>
    </sheetView>
  </sheetViews>
  <sheetFormatPr defaultRowHeight="14.5" x14ac:dyDescent="0.35"/>
  <cols>
    <col min="1" max="1" width="6.81640625" bestFit="1" customWidth="1"/>
    <col min="2" max="2" width="17.36328125" bestFit="1" customWidth="1"/>
    <col min="3" max="3" width="4.81640625" bestFit="1" customWidth="1"/>
    <col min="5" max="5" width="16.08984375" bestFit="1" customWidth="1"/>
  </cols>
  <sheetData>
    <row r="1" spans="1:7" x14ac:dyDescent="0.35">
      <c r="A1" t="s">
        <v>920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</row>
    <row r="2" spans="1:7" x14ac:dyDescent="0.35">
      <c r="A2">
        <v>118370</v>
      </c>
      <c r="B2" t="s">
        <v>704</v>
      </c>
      <c r="C2" t="s">
        <v>899</v>
      </c>
      <c r="D2">
        <f>VLOOKUP(1000000+A2,'Quotazioni calciatori'!C:N,12,FALSE)</f>
        <v>6534</v>
      </c>
      <c r="E2" t="str">
        <f>VLOOKUP(D2,'Leghe Fantacalcio'!B:D,3,FALSE)</f>
        <v>Perri</v>
      </c>
      <c r="F2" s="1" t="b">
        <f>EXACT(UPPER(B2),UPPER(E2))</f>
        <v>0</v>
      </c>
      <c r="G2" t="str">
        <f>IF(F2,"",CONCATENATE("if (giocatore.getSquadra().equalsIgnoreCase(""",C2,""") &amp;&amp; giocatore.getNomeFS().equalsIgnoreCase(""",B2,""")) giocatore.setNomeFSCambiato(""",E2,""");"))</f>
        <v>if (giocatore.getSquadra().equalsIgnoreCase("Tor") &amp;&amp; giocatore.getNomeFS().equalsIgnoreCase("lucas perri")) giocatore.setNomeFSCambiato("Perri");</v>
      </c>
    </row>
    <row r="3" spans="1:7" x14ac:dyDescent="0.35">
      <c r="A3">
        <v>67789</v>
      </c>
      <c r="B3" t="s">
        <v>705</v>
      </c>
      <c r="C3" t="s">
        <v>900</v>
      </c>
      <c r="D3">
        <f>VLOOKUP(1000000+A3,'Quotazioni calciatori'!C:N,12,FALSE)</f>
        <v>2788</v>
      </c>
      <c r="E3" t="str">
        <f>VLOOKUP(D3,'Leghe Fantacalcio'!B:D,3,FALSE)</f>
        <v>Bremer</v>
      </c>
      <c r="F3" s="1" t="b">
        <f t="shared" ref="F3:F66" si="0">EXACT(UPPER(B3),UPPER(E3))</f>
        <v>1</v>
      </c>
      <c r="G3" t="str">
        <f t="shared" ref="G3:G66" si="1">IF(F3,"",CONCATENATE("if (giocatore.getSquadra().equalsIgnoreCase(""",C3,""") &amp;&amp; giocatore.getNomeFS().equalsIgnoreCase(""",B3,""")) giocatore.setNomeFSCambiato(""",E3,""");"))</f>
        <v/>
      </c>
    </row>
    <row r="4" spans="1:7" x14ac:dyDescent="0.35">
      <c r="A4">
        <v>49438</v>
      </c>
      <c r="B4" t="s">
        <v>706</v>
      </c>
      <c r="C4" t="s">
        <v>901</v>
      </c>
      <c r="D4">
        <f>VLOOKUP(1000000+A4,'Quotazioni calciatori'!C:N,12,FALSE)</f>
        <v>2296</v>
      </c>
      <c r="E4" t="str">
        <f>VLOOKUP(D4,'Leghe Fantacalcio'!B:D,3,FALSE)</f>
        <v>Mancini</v>
      </c>
      <c r="F4" s="1" t="b">
        <f t="shared" si="0"/>
        <v>1</v>
      </c>
      <c r="G4" t="str">
        <f t="shared" si="1"/>
        <v/>
      </c>
    </row>
    <row r="5" spans="1:7" x14ac:dyDescent="0.35">
      <c r="A5">
        <v>94914</v>
      </c>
      <c r="B5" t="s">
        <v>707</v>
      </c>
      <c r="C5" t="s">
        <v>902</v>
      </c>
      <c r="D5">
        <f>VLOOKUP(1000000+A5,'Quotazioni calciatori'!C:N,12,FALSE)</f>
        <v>6727</v>
      </c>
      <c r="E5" t="str">
        <f>VLOOKUP(D5,'Leghe Fantacalcio'!B:D,3,FALSE)</f>
        <v>Couto</v>
      </c>
      <c r="F5" s="1" t="b">
        <f t="shared" si="0"/>
        <v>0</v>
      </c>
      <c r="G5" t="str">
        <f t="shared" si="1"/>
        <v>if (giocatore.getSquadra().equalsIgnoreCase("Com") &amp;&amp; giocatore.getNomeFS().equalsIgnoreCase("yan couto")) giocatore.setNomeFSCambiato("Couto");</v>
      </c>
    </row>
    <row r="6" spans="1:7" x14ac:dyDescent="0.35">
      <c r="A6">
        <v>102062</v>
      </c>
      <c r="B6" t="s">
        <v>708</v>
      </c>
      <c r="C6" t="s">
        <v>903</v>
      </c>
      <c r="D6">
        <f>VLOOKUP(1000000+A6,'Quotazioni calciatori'!C:N,12,FALSE)</f>
        <v>5862</v>
      </c>
      <c r="E6" t="str">
        <f>VLOOKUP(D6,'Leghe Fantacalcio'!B:D,3,FALSE)</f>
        <v>Valeri</v>
      </c>
      <c r="F6" s="1" t="b">
        <f t="shared" si="0"/>
        <v>1</v>
      </c>
      <c r="G6" t="str">
        <f t="shared" si="1"/>
        <v/>
      </c>
    </row>
    <row r="7" spans="1:7" x14ac:dyDescent="0.35">
      <c r="A7">
        <v>104526</v>
      </c>
      <c r="B7" t="s">
        <v>709</v>
      </c>
      <c r="C7" t="s">
        <v>900</v>
      </c>
      <c r="D7">
        <f>VLOOKUP(1000000+A7,'Quotazioni calciatori'!C:N,12,FALSE)</f>
        <v>6884</v>
      </c>
      <c r="E7" t="str">
        <f>VLOOKUP(D7,'Leghe Fantacalcio'!B:D,3,FALSE)</f>
        <v>Conceicao</v>
      </c>
      <c r="F7" s="1" t="b">
        <f t="shared" si="0"/>
        <v>0</v>
      </c>
      <c r="G7" t="str">
        <f t="shared" si="1"/>
        <v>if (giocatore.getSquadra().equalsIgnoreCase("Juv") &amp;&amp; giocatore.getNomeFS().equalsIgnoreCase("francisco conceicao")) giocatore.setNomeFSCambiato("Conceicao");</v>
      </c>
    </row>
    <row r="8" spans="1:7" x14ac:dyDescent="0.35">
      <c r="A8">
        <v>19157</v>
      </c>
      <c r="B8" t="s">
        <v>710</v>
      </c>
      <c r="C8" t="s">
        <v>904</v>
      </c>
      <c r="D8">
        <f>VLOOKUP(1000000+A8,'Quotazioni calciatori'!C:N,12,FALSE)</f>
        <v>2517</v>
      </c>
      <c r="E8" t="str">
        <f>VLOOKUP(D8,'Leghe Fantacalcio'!B:D,3,FALSE)</f>
        <v>De Bruyne</v>
      </c>
      <c r="F8" s="1" t="b">
        <f t="shared" si="0"/>
        <v>1</v>
      </c>
      <c r="G8" t="str">
        <f t="shared" si="1"/>
        <v/>
      </c>
    </row>
    <row r="9" spans="1:7" x14ac:dyDescent="0.35">
      <c r="A9">
        <v>112712</v>
      </c>
      <c r="B9" t="s">
        <v>711</v>
      </c>
      <c r="C9" t="s">
        <v>905</v>
      </c>
      <c r="D9">
        <f>VLOOKUP(1000000+A9,'Quotazioni calciatori'!C:N,12,FALSE)</f>
        <v>5792</v>
      </c>
      <c r="E9" t="str">
        <f>VLOOKUP(D9,'Leghe Fantacalcio'!B:D,3,FALSE)</f>
        <v>Ederson D.S.</v>
      </c>
      <c r="F9" s="1" t="b">
        <f t="shared" si="0"/>
        <v>0</v>
      </c>
      <c r="G9" t="str">
        <f t="shared" si="1"/>
        <v>if (giocatore.getSquadra().equalsIgnoreCase("Ata") &amp;&amp; giocatore.getNomeFS().equalsIgnoreCase("ederson")) giocatore.setNomeFSCambiato("Ederson D.S.");</v>
      </c>
    </row>
    <row r="10" spans="1:7" x14ac:dyDescent="0.35">
      <c r="A10">
        <v>35059</v>
      </c>
      <c r="B10" t="s">
        <v>712</v>
      </c>
      <c r="C10" t="s">
        <v>906</v>
      </c>
      <c r="D10">
        <f>VLOOKUP(1000000+A10,'Quotazioni calciatori'!C:N,12,FALSE)</f>
        <v>531</v>
      </c>
      <c r="E10" t="str">
        <f>VLOOKUP(D10,'Leghe Fantacalcio'!B:D,3,FALSE)</f>
        <v>Berardi</v>
      </c>
      <c r="F10" s="1" t="b">
        <f t="shared" si="0"/>
        <v>1</v>
      </c>
      <c r="G10" t="str">
        <f t="shared" si="1"/>
        <v/>
      </c>
    </row>
    <row r="11" spans="1:7" x14ac:dyDescent="0.35">
      <c r="A11">
        <v>95769</v>
      </c>
      <c r="B11" t="s">
        <v>713</v>
      </c>
      <c r="C11" t="s">
        <v>905</v>
      </c>
      <c r="D11">
        <f>VLOOKUP(1000000+A11,'Quotazioni calciatori'!C:N,12,FALSE)</f>
        <v>6435</v>
      </c>
      <c r="E11" t="str">
        <f>VLOOKUP(D11,'Leghe Fantacalcio'!B:D,3,FALSE)</f>
        <v>Krstovic</v>
      </c>
      <c r="F11" s="1" t="b">
        <f t="shared" si="0"/>
        <v>1</v>
      </c>
      <c r="G11" t="str">
        <f t="shared" si="1"/>
        <v/>
      </c>
    </row>
    <row r="12" spans="1:7" x14ac:dyDescent="0.35">
      <c r="A12">
        <v>95108</v>
      </c>
      <c r="B12" t="s">
        <v>714</v>
      </c>
      <c r="C12" t="s">
        <v>900</v>
      </c>
      <c r="D12">
        <f>VLOOKUP(1000000+A12,'Quotazioni calciatori'!C:N,12,FALSE)</f>
        <v>6752</v>
      </c>
      <c r="E12" t="str">
        <f>VLOOKUP(D12,'Leghe Fantacalcio'!B:D,3,FALSE)</f>
        <v>Woltemade</v>
      </c>
      <c r="F12" s="1" t="b">
        <f t="shared" si="0"/>
        <v>1</v>
      </c>
      <c r="G12" t="str">
        <f t="shared" si="1"/>
        <v/>
      </c>
    </row>
    <row r="13" spans="1:7" x14ac:dyDescent="0.35">
      <c r="A13">
        <v>42646</v>
      </c>
      <c r="B13" t="s">
        <v>715</v>
      </c>
      <c r="C13" t="s">
        <v>907</v>
      </c>
      <c r="D13">
        <f>VLOOKUP(1000000+A13,'Quotazioni calciatori'!C:N,12,FALSE)</f>
        <v>4312</v>
      </c>
      <c r="E13" t="str">
        <f>VLOOKUP(D13,'Leghe Fantacalcio'!B:D,3,FALSE)</f>
        <v>Maignan</v>
      </c>
      <c r="F13" s="1" t="b">
        <f t="shared" si="0"/>
        <v>1</v>
      </c>
      <c r="G13" t="str">
        <f t="shared" si="1"/>
        <v/>
      </c>
    </row>
    <row r="14" spans="1:7" x14ac:dyDescent="0.35">
      <c r="A14">
        <v>18210</v>
      </c>
      <c r="B14" t="s">
        <v>716</v>
      </c>
      <c r="C14" t="s">
        <v>907</v>
      </c>
      <c r="D14">
        <f>VLOOKUP(1000000+A14,'Quotazioni calciatori'!C:N,12,FALSE)</f>
        <v>2815</v>
      </c>
      <c r="E14" t="str">
        <f>VLOOKUP(D14,'Leghe Fantacalcio'!B:D,3,FALSE)</f>
        <v>Terracciano</v>
      </c>
      <c r="F14" s="1" t="b">
        <f t="shared" si="0"/>
        <v>1</v>
      </c>
      <c r="G14" t="str">
        <f t="shared" si="1"/>
        <v/>
      </c>
    </row>
    <row r="15" spans="1:7" x14ac:dyDescent="0.35">
      <c r="A15">
        <v>102086</v>
      </c>
      <c r="B15" t="s">
        <v>717</v>
      </c>
      <c r="C15" t="s">
        <v>908</v>
      </c>
      <c r="D15">
        <f>VLOOKUP(1000000+A15,'Quotazioni calciatori'!C:N,12,FALSE)</f>
        <v>6904</v>
      </c>
      <c r="E15" t="str">
        <f>VLOOKUP(D15,'Leghe Fantacalcio'!B:D,3,FALSE)</f>
        <v>Yeboah J.</v>
      </c>
      <c r="F15" s="1" t="b">
        <f t="shared" si="0"/>
        <v>0</v>
      </c>
      <c r="G15" t="str">
        <f t="shared" si="1"/>
        <v>if (giocatore.getSquadra().equalsIgnoreCase("Ven") &amp;&amp; giocatore.getNomeFS().equalsIgnoreCase("yeboah")) giocatore.setNomeFSCambiato("Yeboah J.");</v>
      </c>
    </row>
    <row r="16" spans="1:7" x14ac:dyDescent="0.35">
      <c r="A16">
        <v>59346</v>
      </c>
      <c r="B16" t="s">
        <v>718</v>
      </c>
      <c r="C16" t="s">
        <v>909</v>
      </c>
      <c r="D16">
        <f>VLOOKUP(1000000+A16,'Quotazioni calciatori'!C:N,12,FALSE)</f>
        <v>2038</v>
      </c>
      <c r="E16" t="str">
        <f>VLOOKUP(D16,'Leghe Fantacalcio'!B:D,3,FALSE)</f>
        <v>Pinamonti</v>
      </c>
      <c r="F16" s="1" t="b">
        <f t="shared" si="0"/>
        <v>1</v>
      </c>
      <c r="G16" t="str">
        <f t="shared" si="1"/>
        <v/>
      </c>
    </row>
    <row r="17" spans="1:7" x14ac:dyDescent="0.35">
      <c r="A17">
        <v>118054</v>
      </c>
      <c r="B17" t="s">
        <v>719</v>
      </c>
      <c r="C17" t="s">
        <v>900</v>
      </c>
      <c r="D17">
        <f>VLOOKUP(1000000+A17,'Quotazioni calciatori'!C:N,12,FALSE)</f>
        <v>6434</v>
      </c>
      <c r="E17" t="str">
        <f>VLOOKUP(D17,'Leghe Fantacalcio'!B:D,3,FALSE)</f>
        <v>Yildiz</v>
      </c>
      <c r="F17" s="1" t="b">
        <f t="shared" si="0"/>
        <v>1</v>
      </c>
      <c r="G17" t="str">
        <f t="shared" si="1"/>
        <v/>
      </c>
    </row>
    <row r="18" spans="1:7" x14ac:dyDescent="0.35">
      <c r="A18">
        <v>54189</v>
      </c>
      <c r="B18" t="s">
        <v>720</v>
      </c>
      <c r="C18" t="s">
        <v>910</v>
      </c>
      <c r="D18">
        <f>VLOOKUP(1000000+A18,'Quotazioni calciatori'!C:N,12,FALSE)</f>
        <v>5946</v>
      </c>
      <c r="E18" t="str">
        <f>VLOOKUP(D18,'Leghe Fantacalcio'!B:D,3,FALSE)</f>
        <v>Sow</v>
      </c>
      <c r="F18" s="1" t="b">
        <f t="shared" si="0"/>
        <v>1</v>
      </c>
      <c r="G18" t="str">
        <f t="shared" si="1"/>
        <v/>
      </c>
    </row>
    <row r="19" spans="1:7" x14ac:dyDescent="0.35">
      <c r="A19">
        <v>61639</v>
      </c>
      <c r="B19" t="s">
        <v>721</v>
      </c>
      <c r="C19" t="s">
        <v>911</v>
      </c>
      <c r="D19">
        <f>VLOOKUP(1000000+A19,'Quotazioni calciatori'!C:N,12,FALSE)</f>
        <v>2766</v>
      </c>
      <c r="E19" t="str">
        <f>VLOOKUP(D19,'Leghe Fantacalcio'!B:D,3,FALSE)</f>
        <v>Zaniolo</v>
      </c>
      <c r="F19" s="1" t="b">
        <f t="shared" si="0"/>
        <v>1</v>
      </c>
      <c r="G19" t="str">
        <f t="shared" si="1"/>
        <v/>
      </c>
    </row>
    <row r="20" spans="1:7" x14ac:dyDescent="0.35">
      <c r="A20">
        <v>117169</v>
      </c>
      <c r="B20" t="s">
        <v>722</v>
      </c>
      <c r="C20" t="s">
        <v>912</v>
      </c>
      <c r="D20">
        <f>VLOOKUP(1000000+A20,'Quotazioni calciatori'!C:N,12,FALSE)</f>
        <v>6908</v>
      </c>
      <c r="E20" t="str">
        <f>VLOOKUP(D20,'Leghe Fantacalcio'!B:D,3,FALSE)</f>
        <v>Atta</v>
      </c>
      <c r="F20" s="1" t="b">
        <f t="shared" si="0"/>
        <v>1</v>
      </c>
      <c r="G20" t="str">
        <f t="shared" si="1"/>
        <v/>
      </c>
    </row>
    <row r="21" spans="1:7" x14ac:dyDescent="0.35">
      <c r="A21">
        <v>52468</v>
      </c>
      <c r="B21" t="s">
        <v>723</v>
      </c>
      <c r="C21" t="s">
        <v>913</v>
      </c>
      <c r="D21">
        <f>VLOOKUP(1000000+A21,'Quotazioni calciatori'!C:N,12,FALSE)</f>
        <v>2167</v>
      </c>
      <c r="E21" t="str">
        <f>VLOOKUP(D21,'Leghe Fantacalcio'!B:D,3,FALSE)</f>
        <v>Orsolini</v>
      </c>
      <c r="F21" s="1" t="b">
        <f t="shared" si="0"/>
        <v>1</v>
      </c>
      <c r="G21" t="str">
        <f t="shared" si="1"/>
        <v/>
      </c>
    </row>
    <row r="22" spans="1:7" x14ac:dyDescent="0.35">
      <c r="A22">
        <v>45397</v>
      </c>
      <c r="B22" t="s">
        <v>724</v>
      </c>
      <c r="C22" t="s">
        <v>901</v>
      </c>
      <c r="D22">
        <f>VLOOKUP(1000000+A22,'Quotazioni calciatori'!C:N,12,FALSE)</f>
        <v>530</v>
      </c>
      <c r="E22" t="str">
        <f>VLOOKUP(D22,'Leghe Fantacalcio'!B:D,3,FALSE)</f>
        <v>Pellegrini Lo.</v>
      </c>
      <c r="F22" s="1" t="b">
        <f t="shared" si="0"/>
        <v>0</v>
      </c>
      <c r="G22" t="str">
        <f t="shared" si="1"/>
        <v>if (giocatore.getSquadra().equalsIgnoreCase("Rom") &amp;&amp; giocatore.getNomeFS().equalsIgnoreCase("pellegrini")) giocatore.setNomeFSCambiato("Pellegrini Lo.");</v>
      </c>
    </row>
    <row r="23" spans="1:7" x14ac:dyDescent="0.35">
      <c r="A23">
        <v>110749</v>
      </c>
      <c r="B23" t="s">
        <v>725</v>
      </c>
      <c r="C23" t="s">
        <v>913</v>
      </c>
      <c r="D23">
        <f>VLOOKUP(1000000+A23,'Quotazioni calciatori'!C:N,12,FALSE)</f>
        <v>5675</v>
      </c>
      <c r="E23" t="str">
        <f>VLOOKUP(D23,'Leghe Fantacalcio'!B:D,3,FALSE)</f>
        <v>Theate</v>
      </c>
      <c r="F23" s="1" t="b">
        <f t="shared" si="0"/>
        <v>1</v>
      </c>
      <c r="G23" t="str">
        <f t="shared" si="1"/>
        <v/>
      </c>
    </row>
    <row r="24" spans="1:7" x14ac:dyDescent="0.35">
      <c r="A24">
        <v>39584</v>
      </c>
      <c r="B24" t="s">
        <v>726</v>
      </c>
      <c r="C24" t="s">
        <v>914</v>
      </c>
      <c r="D24">
        <f>VLOOKUP(1000000+A24,'Quotazioni calciatori'!C:N,12,FALSE)</f>
        <v>2514</v>
      </c>
      <c r="E24" t="str">
        <f>VLOOKUP(D24,'Leghe Fantacalcio'!B:D,3,FALSE)</f>
        <v>Stones</v>
      </c>
      <c r="F24" s="1" t="b">
        <f t="shared" si="0"/>
        <v>1</v>
      </c>
      <c r="G24" t="str">
        <f t="shared" si="1"/>
        <v/>
      </c>
    </row>
    <row r="25" spans="1:7" x14ac:dyDescent="0.35">
      <c r="A25">
        <v>110535</v>
      </c>
      <c r="B25" t="s">
        <v>727</v>
      </c>
      <c r="C25" t="s">
        <v>915</v>
      </c>
      <c r="D25">
        <f>VLOOKUP(1000000+A25,'Quotazioni calciatori'!C:N,12,FALSE)</f>
        <v>7485</v>
      </c>
      <c r="E25" t="str">
        <f>VLOOKUP(D25,'Leghe Fantacalcio'!B:D,3,FALSE)</f>
        <v>Mangas</v>
      </c>
      <c r="F25" s="1" t="b">
        <f t="shared" si="0"/>
        <v>0</v>
      </c>
      <c r="G25" t="str">
        <f t="shared" si="1"/>
        <v>if (giocatore.getSquadra().equalsIgnoreCase("Mon") &amp;&amp; giocatore.getNomeFS().equalsIgnoreCase("ricardo mangas")) giocatore.setNomeFSCambiato("Mangas");</v>
      </c>
    </row>
    <row r="26" spans="1:7" x14ac:dyDescent="0.35">
      <c r="A26">
        <v>120431</v>
      </c>
      <c r="B26" t="s">
        <v>728</v>
      </c>
      <c r="C26" t="s">
        <v>901</v>
      </c>
      <c r="D26">
        <f>VLOOKUP(1000000+A26,'Quotazioni calciatori'!C:N,12,FALSE)</f>
        <v>7529</v>
      </c>
      <c r="E26" t="str">
        <f>VLOOKUP(D26,'Leghe Fantacalcio'!B:D,3,FALSE)</f>
        <v>Koulierakis</v>
      </c>
      <c r="F26" s="1" t="b">
        <f t="shared" si="0"/>
        <v>1</v>
      </c>
      <c r="G26" t="str">
        <f t="shared" si="1"/>
        <v/>
      </c>
    </row>
    <row r="27" spans="1:7" x14ac:dyDescent="0.35">
      <c r="A27">
        <v>45335</v>
      </c>
      <c r="B27" t="s">
        <v>729</v>
      </c>
      <c r="C27" t="s">
        <v>900</v>
      </c>
      <c r="D27">
        <f>VLOOKUP(1000000+A27,'Quotazioni calciatori'!C:N,12,FALSE)</f>
        <v>4964</v>
      </c>
      <c r="E27" t="str">
        <f>VLOOKUP(D27,'Leghe Fantacalcio'!B:D,3,FALSE)</f>
        <v>Vicario</v>
      </c>
      <c r="F27" s="1" t="b">
        <f t="shared" si="0"/>
        <v>1</v>
      </c>
      <c r="G27" t="str">
        <f t="shared" si="1"/>
        <v/>
      </c>
    </row>
    <row r="28" spans="1:7" x14ac:dyDescent="0.35">
      <c r="A28">
        <v>119152</v>
      </c>
      <c r="B28" t="s">
        <v>730</v>
      </c>
      <c r="C28" t="s">
        <v>902</v>
      </c>
      <c r="D28">
        <f>VLOOKUP(1000000+A28,'Quotazioni calciatori'!C:N,12,FALSE)</f>
        <v>6869</v>
      </c>
      <c r="E28" t="str">
        <f>VLOOKUP(D28,'Leghe Fantacalcio'!B:D,3,FALSE)</f>
        <v>Ramon</v>
      </c>
      <c r="F28" s="1" t="b">
        <f t="shared" si="0"/>
        <v>0</v>
      </c>
      <c r="G28" t="str">
        <f t="shared" si="1"/>
        <v>if (giocatore.getSquadra().equalsIgnoreCase("Com") &amp;&amp; giocatore.getNomeFS().equalsIgnoreCase("jacobo ramon")) giocatore.setNomeFSCambiato("Ramon");</v>
      </c>
    </row>
    <row r="29" spans="1:7" x14ac:dyDescent="0.35">
      <c r="A29">
        <v>51495</v>
      </c>
      <c r="B29" t="s">
        <v>731</v>
      </c>
      <c r="C29" t="s">
        <v>904</v>
      </c>
      <c r="D29">
        <f>VLOOKUP(1000000+A29,'Quotazioni calciatori'!C:N,12,FALSE)</f>
        <v>4409</v>
      </c>
      <c r="E29" t="str">
        <f>VLOOKUP(D29,'Leghe Fantacalcio'!B:D,3,FALSE)</f>
        <v>Rrahmani</v>
      </c>
      <c r="F29" s="1" t="b">
        <f t="shared" si="0"/>
        <v>1</v>
      </c>
      <c r="G29" t="str">
        <f t="shared" si="1"/>
        <v/>
      </c>
    </row>
    <row r="30" spans="1:7" x14ac:dyDescent="0.35">
      <c r="A30">
        <v>68545</v>
      </c>
      <c r="B30" t="s">
        <v>732</v>
      </c>
      <c r="C30" t="s">
        <v>900</v>
      </c>
      <c r="D30">
        <f>VLOOKUP(1000000+A30,'Quotazioni calciatori'!C:N,12,FALSE)</f>
        <v>6042</v>
      </c>
      <c r="E30" t="str">
        <f>VLOOKUP(D30,'Leghe Fantacalcio'!B:D,3,FALSE)</f>
        <v>Lucumì</v>
      </c>
      <c r="F30" s="1" t="b">
        <f t="shared" si="0"/>
        <v>0</v>
      </c>
      <c r="G30" t="str">
        <f t="shared" si="1"/>
        <v>if (giocatore.getSquadra().equalsIgnoreCase("Juv") &amp;&amp; giocatore.getNomeFS().equalsIgnoreCase("lucumi")) giocatore.setNomeFSCambiato("Lucumì");</v>
      </c>
    </row>
    <row r="31" spans="1:7" x14ac:dyDescent="0.35">
      <c r="A31">
        <v>39156</v>
      </c>
      <c r="B31" t="s">
        <v>733</v>
      </c>
      <c r="C31" t="s">
        <v>913</v>
      </c>
      <c r="D31">
        <f>VLOOKUP(1000000+A31,'Quotazioni calciatori'!C:N,12,FALSE)</f>
        <v>184</v>
      </c>
      <c r="E31" t="str">
        <f>VLOOKUP(D31,'Leghe Fantacalcio'!B:D,3,FALSE)</f>
        <v>Bernardeschi</v>
      </c>
      <c r="F31" s="1" t="b">
        <f t="shared" si="0"/>
        <v>1</v>
      </c>
      <c r="G31" t="str">
        <f t="shared" si="1"/>
        <v/>
      </c>
    </row>
    <row r="32" spans="1:7" x14ac:dyDescent="0.35">
      <c r="A32">
        <v>59311</v>
      </c>
      <c r="B32" t="s">
        <v>734</v>
      </c>
      <c r="C32" t="s">
        <v>916</v>
      </c>
      <c r="D32">
        <f>VLOOKUP(1000000+A32,'Quotazioni calciatori'!C:N,12,FALSE)</f>
        <v>7551</v>
      </c>
      <c r="E32" t="str">
        <f>VLOOKUP(D32,'Leghe Fantacalcio'!B:D,3,FALSE)</f>
        <v>Schmid</v>
      </c>
      <c r="F32" s="1" t="b">
        <f t="shared" si="0"/>
        <v>1</v>
      </c>
      <c r="G32" t="str">
        <f t="shared" si="1"/>
        <v/>
      </c>
    </row>
    <row r="33" spans="1:7" x14ac:dyDescent="0.35">
      <c r="A33">
        <v>116519</v>
      </c>
      <c r="B33" t="s">
        <v>735</v>
      </c>
      <c r="C33" t="s">
        <v>907</v>
      </c>
      <c r="D33">
        <f>VLOOKUP(1000000+A33,'Quotazioni calciatori'!C:N,12,FALSE)</f>
        <v>6618</v>
      </c>
      <c r="E33" t="str">
        <f>VLOOKUP(D33,'Leghe Fantacalcio'!B:D,3,FALSE)</f>
        <v>Cissè A.</v>
      </c>
      <c r="F33" s="1" t="b">
        <f t="shared" si="0"/>
        <v>0</v>
      </c>
      <c r="G33" t="str">
        <f t="shared" si="1"/>
        <v>if (giocatore.getSquadra().equalsIgnoreCase("Mil") &amp;&amp; giocatore.getNomeFS().equalsIgnoreCase("cisse")) giocatore.setNomeFSCambiato("Cissè A.");</v>
      </c>
    </row>
    <row r="34" spans="1:7" x14ac:dyDescent="0.35">
      <c r="A34">
        <v>119818</v>
      </c>
      <c r="B34" t="s">
        <v>736</v>
      </c>
      <c r="C34" t="s">
        <v>917</v>
      </c>
      <c r="D34">
        <f>VLOOKUP(1000000+A34,'Quotazioni calciatori'!C:N,12,FALSE)</f>
        <v>7311</v>
      </c>
      <c r="E34" t="str">
        <f>VLOOKUP(D34,'Leghe Fantacalcio'!B:D,3,FALSE)</f>
        <v>Romano</v>
      </c>
      <c r="F34" s="1" t="b">
        <f t="shared" si="0"/>
        <v>1</v>
      </c>
      <c r="G34" t="str">
        <f t="shared" si="1"/>
        <v/>
      </c>
    </row>
    <row r="35" spans="1:7" x14ac:dyDescent="0.35">
      <c r="A35">
        <v>102774</v>
      </c>
      <c r="B35" t="s">
        <v>737</v>
      </c>
      <c r="C35" t="s">
        <v>904</v>
      </c>
      <c r="D35">
        <f>VLOOKUP(1000000+A35,'Quotazioni calciatori'!C:N,12,FALSE)</f>
        <v>6052</v>
      </c>
      <c r="E35" t="str">
        <f>VLOOKUP(D35,'Leghe Fantacalcio'!B:D,3,FALSE)</f>
        <v>Hojlund</v>
      </c>
      <c r="F35" s="1" t="b">
        <f t="shared" si="0"/>
        <v>0</v>
      </c>
      <c r="G35" t="str">
        <f t="shared" si="1"/>
        <v>if (giocatore.getSquadra().equalsIgnoreCase("Nap") &amp;&amp; giocatore.getNomeFS().equalsIgnoreCase("højlund")) giocatore.setNomeFSCambiato("Hojlund");</v>
      </c>
    </row>
    <row r="36" spans="1:7" x14ac:dyDescent="0.35">
      <c r="A36">
        <v>63275</v>
      </c>
      <c r="B36" t="s">
        <v>738</v>
      </c>
      <c r="C36" t="s">
        <v>914</v>
      </c>
      <c r="D36">
        <f>VLOOKUP(1000000+A36,'Quotazioni calciatori'!C:N,12,FALSE)</f>
        <v>4871</v>
      </c>
      <c r="E36" t="str">
        <f>VLOOKUP(D36,'Leghe Fantacalcio'!B:D,3,FALSE)</f>
        <v>Thuram</v>
      </c>
      <c r="F36" s="1" t="b">
        <f t="shared" si="0"/>
        <v>1</v>
      </c>
      <c r="G36" t="str">
        <f t="shared" si="1"/>
        <v/>
      </c>
    </row>
    <row r="37" spans="1:7" x14ac:dyDescent="0.35">
      <c r="A37">
        <v>95684</v>
      </c>
      <c r="B37" t="s">
        <v>739</v>
      </c>
      <c r="C37" t="s">
        <v>909</v>
      </c>
      <c r="D37">
        <f>VLOOKUP(1000000+A37,'Quotazioni calciatori'!C:N,12,FALSE)</f>
        <v>6398</v>
      </c>
      <c r="E37" t="str">
        <f>VLOOKUP(D37,'Leghe Fantacalcio'!B:D,3,FALSE)</f>
        <v>Isaksen</v>
      </c>
      <c r="F37" s="1" t="b">
        <f t="shared" si="0"/>
        <v>1</v>
      </c>
      <c r="G37" t="str">
        <f t="shared" si="1"/>
        <v/>
      </c>
    </row>
    <row r="38" spans="1:7" x14ac:dyDescent="0.35">
      <c r="A38">
        <v>98983</v>
      </c>
      <c r="B38" t="s">
        <v>740</v>
      </c>
      <c r="C38" t="s">
        <v>902</v>
      </c>
      <c r="D38">
        <f>VLOOKUP(1000000+A38,'Quotazioni calciatori'!C:N,12,FALSE)</f>
        <v>6966</v>
      </c>
      <c r="E38" t="str">
        <f>VLOOKUP(D38,'Leghe Fantacalcio'!B:D,3,FALSE)</f>
        <v>Butez</v>
      </c>
      <c r="F38" s="1" t="b">
        <f t="shared" si="0"/>
        <v>1</v>
      </c>
      <c r="G38" t="str">
        <f t="shared" si="1"/>
        <v/>
      </c>
    </row>
    <row r="39" spans="1:7" x14ac:dyDescent="0.35">
      <c r="A39">
        <v>94916</v>
      </c>
      <c r="B39" t="s">
        <v>741</v>
      </c>
      <c r="C39" t="s">
        <v>906</v>
      </c>
      <c r="D39">
        <f>VLOOKUP(1000000+A39,'Quotazioni calciatori'!C:N,12,FALSE)</f>
        <v>4236</v>
      </c>
      <c r="E39" t="str">
        <f>VLOOKUP(D39,'Leghe Fantacalcio'!B:D,3,FALSE)</f>
        <v>Muric</v>
      </c>
      <c r="F39" s="1" t="b">
        <f t="shared" si="0"/>
        <v>1</v>
      </c>
      <c r="G39" t="str">
        <f t="shared" si="1"/>
        <v/>
      </c>
    </row>
    <row r="40" spans="1:7" x14ac:dyDescent="0.35">
      <c r="A40">
        <v>78237</v>
      </c>
      <c r="B40" t="s">
        <v>742</v>
      </c>
      <c r="C40" t="s">
        <v>916</v>
      </c>
      <c r="D40">
        <f>VLOOKUP(1000000+A40,'Quotazioni calciatori'!C:N,12,FALSE)</f>
        <v>4952</v>
      </c>
      <c r="E40" t="str">
        <f>VLOOKUP(D40,'Leghe Fantacalcio'!B:D,3,FALSE)</f>
        <v>Monterisi</v>
      </c>
      <c r="F40" s="1" t="b">
        <f t="shared" si="0"/>
        <v>1</v>
      </c>
      <c r="G40" t="str">
        <f t="shared" si="1"/>
        <v/>
      </c>
    </row>
    <row r="41" spans="1:7" x14ac:dyDescent="0.35">
      <c r="A41">
        <v>95318</v>
      </c>
      <c r="B41" t="s">
        <v>743</v>
      </c>
      <c r="C41" t="s">
        <v>902</v>
      </c>
      <c r="D41">
        <f>VLOOKUP(1000000+A41,'Quotazioni calciatori'!C:N,12,FALSE)</f>
        <v>5641</v>
      </c>
      <c r="E41" t="str">
        <f>VLOOKUP(D41,'Leghe Fantacalcio'!B:D,3,FALSE)</f>
        <v>Chalobah T.</v>
      </c>
      <c r="F41" s="1" t="b">
        <f t="shared" si="0"/>
        <v>0</v>
      </c>
      <c r="G41" t="str">
        <f t="shared" si="1"/>
        <v>if (giocatore.getSquadra().equalsIgnoreCase("Com") &amp;&amp; giocatore.getNomeFS().equalsIgnoreCase("chalobah")) giocatore.setNomeFSCambiato("Chalobah T.");</v>
      </c>
    </row>
    <row r="42" spans="1:7" x14ac:dyDescent="0.35">
      <c r="A42">
        <v>119711</v>
      </c>
      <c r="B42" t="s">
        <v>744</v>
      </c>
      <c r="C42" t="s">
        <v>918</v>
      </c>
      <c r="D42">
        <f>VLOOKUP(1000000+A42,'Quotazioni calciatori'!C:N,12,FALSE)</f>
        <v>6632</v>
      </c>
      <c r="E42" t="str">
        <f>VLOOKUP(D42,'Leghe Fantacalcio'!B:D,3,FALSE)</f>
        <v>Gaspar K.</v>
      </c>
      <c r="F42" s="1" t="b">
        <f t="shared" si="0"/>
        <v>0</v>
      </c>
      <c r="G42" t="str">
        <f t="shared" si="1"/>
        <v>if (giocatore.getSquadra().equalsIgnoreCase("Lec") &amp;&amp; giocatore.getNomeFS().equalsIgnoreCase("kialonda gaspar")) giocatore.setNomeFSCambiato("Gaspar K.");</v>
      </c>
    </row>
    <row r="43" spans="1:7" x14ac:dyDescent="0.35">
      <c r="A43">
        <v>111487</v>
      </c>
      <c r="B43" t="s">
        <v>745</v>
      </c>
      <c r="C43" t="s">
        <v>908</v>
      </c>
      <c r="D43">
        <f>VLOOKUP(1000000+A43,'Quotazioni calciatori'!C:N,12,FALSE)</f>
        <v>7538</v>
      </c>
      <c r="E43" t="str">
        <f>VLOOKUP(D43,'Leghe Fantacalcio'!B:D,3,FALSE)</f>
        <v>Halhal</v>
      </c>
      <c r="F43" s="1" t="b">
        <f t="shared" si="0"/>
        <v>1</v>
      </c>
      <c r="G43" t="str">
        <f t="shared" si="1"/>
        <v/>
      </c>
    </row>
    <row r="44" spans="1:7" x14ac:dyDescent="0.35">
      <c r="A44">
        <v>95257</v>
      </c>
      <c r="B44" t="s">
        <v>746</v>
      </c>
      <c r="C44" t="s">
        <v>917</v>
      </c>
      <c r="D44">
        <f>VLOOKUP(1000000+A44,'Quotazioni calciatori'!C:N,12,FALSE)</f>
        <v>7548</v>
      </c>
      <c r="E44" t="str">
        <f>VLOOKUP(D44,'Leghe Fantacalcio'!B:D,3,FALSE)</f>
        <v>Aurelio</v>
      </c>
      <c r="F44" s="1" t="b">
        <f t="shared" si="0"/>
        <v>1</v>
      </c>
      <c r="G44" t="str">
        <f t="shared" si="1"/>
        <v/>
      </c>
    </row>
    <row r="45" spans="1:7" x14ac:dyDescent="0.35">
      <c r="A45">
        <v>102014</v>
      </c>
      <c r="B45" t="s">
        <v>747</v>
      </c>
      <c r="C45" t="s">
        <v>913</v>
      </c>
      <c r="D45">
        <f>VLOOKUP(1000000+A45,'Quotazioni calciatori'!C:N,12,FALSE)</f>
        <v>2765</v>
      </c>
      <c r="E45" t="str">
        <f>VLOOKUP(D45,'Leghe Fantacalcio'!B:D,3,FALSE)</f>
        <v>Odgaard</v>
      </c>
      <c r="F45" s="1" t="b">
        <f t="shared" si="0"/>
        <v>1</v>
      </c>
      <c r="G45" t="str">
        <f t="shared" si="1"/>
        <v/>
      </c>
    </row>
    <row r="46" spans="1:7" x14ac:dyDescent="0.35">
      <c r="A46">
        <v>115142</v>
      </c>
      <c r="B46" t="s">
        <v>748</v>
      </c>
      <c r="C46" t="s">
        <v>903</v>
      </c>
      <c r="D46">
        <f>VLOOKUP(1000000+A46,'Quotazioni calciatori'!C:N,12,FALSE)</f>
        <v>6206</v>
      </c>
      <c r="E46" t="str">
        <f>VLOOKUP(D46,'Leghe Fantacalcio'!B:D,3,FALSE)</f>
        <v>Fabbian</v>
      </c>
      <c r="F46" s="1" t="b">
        <f t="shared" si="0"/>
        <v>1</v>
      </c>
      <c r="G46" t="str">
        <f t="shared" si="1"/>
        <v/>
      </c>
    </row>
    <row r="47" spans="1:7" x14ac:dyDescent="0.35">
      <c r="A47">
        <v>68771</v>
      </c>
      <c r="B47" t="s">
        <v>749</v>
      </c>
      <c r="C47" t="s">
        <v>900</v>
      </c>
      <c r="D47">
        <f>VLOOKUP(1000000+A47,'Quotazioni calciatori'!C:N,12,FALSE)</f>
        <v>5685</v>
      </c>
      <c r="E47" t="str">
        <f>VLOOKUP(D47,'Leghe Fantacalcio'!B:D,3,FALSE)</f>
        <v>Koopmeiners</v>
      </c>
      <c r="F47" s="1" t="b">
        <f t="shared" si="0"/>
        <v>1</v>
      </c>
      <c r="G47" t="str">
        <f t="shared" si="1"/>
        <v/>
      </c>
    </row>
    <row r="48" spans="1:7" x14ac:dyDescent="0.35">
      <c r="A48">
        <v>102659</v>
      </c>
      <c r="B48" t="s">
        <v>750</v>
      </c>
      <c r="C48" t="s">
        <v>900</v>
      </c>
      <c r="D48">
        <f>VLOOKUP(1000000+A48,'Quotazioni calciatori'!C:N,12,FALSE)</f>
        <v>5680</v>
      </c>
      <c r="E48" t="str">
        <f>VLOOKUP(D48,'Leghe Fantacalcio'!B:D,3,FALSE)</f>
        <v>Sarr P.</v>
      </c>
      <c r="F48" s="1" t="b">
        <f t="shared" si="0"/>
        <v>0</v>
      </c>
      <c r="G48" t="str">
        <f t="shared" si="1"/>
        <v>if (giocatore.getSquadra().equalsIgnoreCase("Juv") &amp;&amp; giocatore.getNomeFS().equalsIgnoreCase("sarr")) giocatore.setNomeFSCambiato("Sarr P.");</v>
      </c>
    </row>
    <row r="49" spans="1:7" x14ac:dyDescent="0.35">
      <c r="A49">
        <v>120334</v>
      </c>
      <c r="B49" t="s">
        <v>751</v>
      </c>
      <c r="C49" t="s">
        <v>917</v>
      </c>
      <c r="D49">
        <f>VLOOKUP(1000000+A49,'Quotazioni calciatori'!C:N,12,FALSE)</f>
        <v>7374</v>
      </c>
      <c r="E49" t="str">
        <f>VLOOKUP(D49,'Leghe Fantacalcio'!B:D,3,FALSE)</f>
        <v>Mendy P.</v>
      </c>
      <c r="F49" s="1" t="b">
        <f t="shared" si="0"/>
        <v>0</v>
      </c>
      <c r="G49" t="str">
        <f t="shared" si="1"/>
        <v>if (giocatore.getSquadra().equalsIgnoreCase("Cag") &amp;&amp; giocatore.getNomeFS().equalsIgnoreCase("mendy")) giocatore.setNomeFSCambiato("Mendy P.");</v>
      </c>
    </row>
    <row r="50" spans="1:7" x14ac:dyDescent="0.35">
      <c r="A50">
        <v>111387</v>
      </c>
      <c r="B50" t="s">
        <v>752</v>
      </c>
      <c r="C50" t="s">
        <v>912</v>
      </c>
      <c r="D50">
        <f>VLOOKUP(1000000+A50,'Quotazioni calciatori'!C:N,12,FALSE)</f>
        <v>5694</v>
      </c>
      <c r="E50" t="str">
        <f>VLOOKUP(D50,'Leghe Fantacalcio'!B:D,3,FALSE)</f>
        <v>Beto</v>
      </c>
      <c r="F50" s="1" t="b">
        <f t="shared" si="0"/>
        <v>1</v>
      </c>
      <c r="G50" t="str">
        <f t="shared" si="1"/>
        <v/>
      </c>
    </row>
    <row r="51" spans="1:7" x14ac:dyDescent="0.35">
      <c r="A51">
        <v>120320</v>
      </c>
      <c r="B51" t="s">
        <v>753</v>
      </c>
      <c r="C51" t="s">
        <v>903</v>
      </c>
      <c r="D51">
        <f>VLOOKUP(1000000+A51,'Quotazioni calciatori'!C:N,12,FALSE)</f>
        <v>7342</v>
      </c>
      <c r="E51" t="str">
        <f>VLOOKUP(D51,'Leghe Fantacalcio'!B:D,3,FALSE)</f>
        <v>Elphege</v>
      </c>
      <c r="F51" s="1" t="b">
        <f t="shared" si="0"/>
        <v>1</v>
      </c>
      <c r="G51" t="str">
        <f t="shared" si="1"/>
        <v/>
      </c>
    </row>
    <row r="52" spans="1:7" x14ac:dyDescent="0.35">
      <c r="A52">
        <v>69665</v>
      </c>
      <c r="B52" t="s">
        <v>754</v>
      </c>
      <c r="C52" t="s">
        <v>917</v>
      </c>
      <c r="D52">
        <f>VLOOKUP(1000000+A52,'Quotazioni calciatori'!C:N,12,FALSE)</f>
        <v>4360</v>
      </c>
      <c r="E52" t="str">
        <f>VLOOKUP(D52,'Leghe Fantacalcio'!B:D,3,FALSE)</f>
        <v>Caprile</v>
      </c>
      <c r="F52" s="1" t="b">
        <f t="shared" si="0"/>
        <v>1</v>
      </c>
      <c r="G52" t="str">
        <f t="shared" si="1"/>
        <v/>
      </c>
    </row>
    <row r="53" spans="1:7" x14ac:dyDescent="0.35">
      <c r="A53">
        <v>115890</v>
      </c>
      <c r="B53" t="s">
        <v>755</v>
      </c>
      <c r="C53" t="s">
        <v>902</v>
      </c>
      <c r="D53">
        <f>VLOOKUP(1000000+A53,'Quotazioni calciatori'!C:N,12,FALSE)</f>
        <v>6867</v>
      </c>
      <c r="E53" t="str">
        <f>VLOOKUP(D53,'Leghe Fantacalcio'!B:D,3,FALSE)</f>
        <v>Valle</v>
      </c>
      <c r="F53" s="1" t="b">
        <f t="shared" si="0"/>
        <v>0</v>
      </c>
      <c r="G53" t="str">
        <f t="shared" si="1"/>
        <v>if (giocatore.getSquadra().equalsIgnoreCase("Com") &amp;&amp; giocatore.getNomeFS().equalsIgnoreCase("alex valle")) giocatore.setNomeFSCambiato("Valle");</v>
      </c>
    </row>
    <row r="54" spans="1:7" x14ac:dyDescent="0.35">
      <c r="A54">
        <v>101890</v>
      </c>
      <c r="B54" t="s">
        <v>756</v>
      </c>
      <c r="C54" t="s">
        <v>901</v>
      </c>
      <c r="D54">
        <f>VLOOKUP(1000000+A54,'Quotazioni calciatori'!C:N,12,FALSE)</f>
        <v>4998</v>
      </c>
      <c r="E54" t="str">
        <f>VLOOKUP(D54,'Leghe Fantacalcio'!B:D,3,FALSE)</f>
        <v>Molina N.</v>
      </c>
      <c r="F54" s="1" t="b">
        <f t="shared" si="0"/>
        <v>0</v>
      </c>
      <c r="G54" t="str">
        <f t="shared" si="1"/>
        <v>if (giocatore.getSquadra().equalsIgnoreCase("Rom") &amp;&amp; giocatore.getNomeFS().equalsIgnoreCase("molina")) giocatore.setNomeFSCambiato("Molina N.");</v>
      </c>
    </row>
    <row r="55" spans="1:7" x14ac:dyDescent="0.35">
      <c r="A55">
        <v>71540</v>
      </c>
      <c r="B55" t="s">
        <v>757</v>
      </c>
      <c r="C55" t="s">
        <v>911</v>
      </c>
      <c r="D55">
        <f>VLOOKUP(1000000+A55,'Quotazioni calciatori'!C:N,12,FALSE)</f>
        <v>4994</v>
      </c>
      <c r="E55" t="str">
        <f>VLOOKUP(D55,'Leghe Fantacalcio'!B:D,3,FALSE)</f>
        <v>Vojvoda</v>
      </c>
      <c r="F55" s="1" t="b">
        <f t="shared" si="0"/>
        <v>1</v>
      </c>
      <c r="G55" t="str">
        <f t="shared" si="1"/>
        <v/>
      </c>
    </row>
    <row r="56" spans="1:7" x14ac:dyDescent="0.35">
      <c r="A56">
        <v>45456</v>
      </c>
      <c r="B56" t="s">
        <v>758</v>
      </c>
      <c r="C56" t="s">
        <v>914</v>
      </c>
      <c r="D56">
        <f>VLOOKUP(1000000+A56,'Quotazioni calciatori'!C:N,12,FALSE)</f>
        <v>1870</v>
      </c>
      <c r="E56" t="str">
        <f>VLOOKUP(D56,'Leghe Fantacalcio'!B:D,3,FALSE)</f>
        <v>Barella</v>
      </c>
      <c r="F56" s="1" t="b">
        <f t="shared" si="0"/>
        <v>1</v>
      </c>
      <c r="G56" t="str">
        <f t="shared" si="1"/>
        <v/>
      </c>
    </row>
    <row r="57" spans="1:7" x14ac:dyDescent="0.35">
      <c r="A57">
        <v>44090</v>
      </c>
      <c r="B57" t="s">
        <v>759</v>
      </c>
      <c r="C57" t="s">
        <v>904</v>
      </c>
      <c r="D57">
        <f>VLOOKUP(1000000+A57,'Quotazioni calciatori'!C:N,12,FALSE)</f>
        <v>4287</v>
      </c>
      <c r="E57" t="str">
        <f>VLOOKUP(D57,'Leghe Fantacalcio'!B:D,3,FALSE)</f>
        <v>Lobotka</v>
      </c>
      <c r="F57" s="1" t="b">
        <f t="shared" si="0"/>
        <v>1</v>
      </c>
      <c r="G57" t="str">
        <f t="shared" si="1"/>
        <v/>
      </c>
    </row>
    <row r="58" spans="1:7" x14ac:dyDescent="0.35">
      <c r="A58">
        <v>95081</v>
      </c>
      <c r="B58" t="s">
        <v>760</v>
      </c>
      <c r="C58" t="s">
        <v>905</v>
      </c>
      <c r="D58">
        <f>VLOOKUP(1000000+A58,'Quotazioni calciatori'!C:N,12,FALSE)</f>
        <v>5119</v>
      </c>
      <c r="E58" t="str">
        <f>VLOOKUP(D58,'Leghe Fantacalcio'!B:D,3,FALSE)</f>
        <v>Samardzic</v>
      </c>
      <c r="F58" s="1" t="b">
        <f t="shared" si="0"/>
        <v>1</v>
      </c>
      <c r="G58" t="str">
        <f t="shared" si="1"/>
        <v/>
      </c>
    </row>
    <row r="59" spans="1:7" x14ac:dyDescent="0.35">
      <c r="A59">
        <v>50707</v>
      </c>
      <c r="B59" t="s">
        <v>761</v>
      </c>
      <c r="C59" t="s">
        <v>905</v>
      </c>
      <c r="D59">
        <f>VLOOKUP(1000000+A59,'Quotazioni calciatori'!C:N,12,FALSE)</f>
        <v>1850</v>
      </c>
      <c r="E59" t="str">
        <f>VLOOKUP(D59,'Leghe Fantacalcio'!B:D,3,FALSE)</f>
        <v>Kessiè</v>
      </c>
      <c r="F59" s="1" t="b">
        <f t="shared" si="0"/>
        <v>0</v>
      </c>
      <c r="G59" t="str">
        <f t="shared" si="1"/>
        <v>if (giocatore.getSquadra().equalsIgnoreCase("Ata") &amp;&amp; giocatore.getNomeFS().equalsIgnoreCase("kessie")) giocatore.setNomeFSCambiato("Kessiè");</v>
      </c>
    </row>
    <row r="60" spans="1:7" x14ac:dyDescent="0.35">
      <c r="A60">
        <v>70991</v>
      </c>
      <c r="B60" t="s">
        <v>762</v>
      </c>
      <c r="C60" t="s">
        <v>906</v>
      </c>
      <c r="D60">
        <f>VLOOKUP(1000000+A60,'Quotazioni calciatori'!C:N,12,FALSE)</f>
        <v>4463</v>
      </c>
      <c r="E60" t="str">
        <f>VLOOKUP(D60,'Leghe Fantacalcio'!B:D,3,FALSE)</f>
        <v>Esposito Se.</v>
      </c>
      <c r="F60" s="1" t="b">
        <f t="shared" si="0"/>
        <v>0</v>
      </c>
      <c r="G60" t="str">
        <f t="shared" si="1"/>
        <v>if (giocatore.getSquadra().equalsIgnoreCase("Sas") &amp;&amp; giocatore.getNomeFS().equalsIgnoreCase("esposito")) giocatore.setNomeFSCambiato("Esposito Se.");</v>
      </c>
    </row>
    <row r="61" spans="1:7" x14ac:dyDescent="0.35">
      <c r="A61">
        <v>118290</v>
      </c>
      <c r="B61" t="s">
        <v>763</v>
      </c>
      <c r="C61" t="s">
        <v>902</v>
      </c>
      <c r="D61">
        <f>VLOOKUP(1000000+A61,'Quotazioni calciatori'!C:N,12,FALSE)</f>
        <v>7017</v>
      </c>
      <c r="E61" t="str">
        <f>VLOOKUP(D61,'Leghe Fantacalcio'!B:D,3,FALSE)</f>
        <v>Douvikas</v>
      </c>
      <c r="F61" s="1" t="b">
        <f t="shared" si="0"/>
        <v>1</v>
      </c>
      <c r="G61" t="str">
        <f t="shared" si="1"/>
        <v/>
      </c>
    </row>
    <row r="62" spans="1:7" x14ac:dyDescent="0.35">
      <c r="A62">
        <v>118085</v>
      </c>
      <c r="B62" t="s">
        <v>762</v>
      </c>
      <c r="C62" t="s">
        <v>914</v>
      </c>
      <c r="D62">
        <f>VLOOKUP(1000000+A62,'Quotazioni calciatori'!C:N,12,FALSE)</f>
        <v>7071</v>
      </c>
      <c r="E62" t="str">
        <f>VLOOKUP(D62,'Leghe Fantacalcio'!B:D,3,FALSE)</f>
        <v>Esposito F.P.</v>
      </c>
      <c r="F62" s="1" t="b">
        <f t="shared" si="0"/>
        <v>0</v>
      </c>
      <c r="G62" t="str">
        <f t="shared" si="1"/>
        <v>if (giocatore.getSquadra().equalsIgnoreCase("Int") &amp;&amp; giocatore.getNomeFS().equalsIgnoreCase("esposito")) giocatore.setNomeFSCambiato("Esposito F.P.");</v>
      </c>
    </row>
    <row r="63" spans="1:7" x14ac:dyDescent="0.35">
      <c r="A63">
        <v>37689</v>
      </c>
      <c r="B63" t="s">
        <v>764</v>
      </c>
      <c r="C63" t="s">
        <v>901</v>
      </c>
      <c r="D63">
        <f>VLOOKUP(1000000+A63,'Quotazioni calciatori'!C:N,12,FALSE)</f>
        <v>309</v>
      </c>
      <c r="E63" t="str">
        <f>VLOOKUP(D63,'Leghe Fantacalcio'!B:D,3,FALSE)</f>
        <v>Dybala</v>
      </c>
      <c r="F63" s="1" t="b">
        <f t="shared" si="0"/>
        <v>1</v>
      </c>
      <c r="G63" t="str">
        <f t="shared" si="1"/>
        <v/>
      </c>
    </row>
    <row r="64" spans="1:7" x14ac:dyDescent="0.35">
      <c r="A64">
        <v>95435</v>
      </c>
      <c r="B64" t="s">
        <v>765</v>
      </c>
      <c r="C64" t="s">
        <v>906</v>
      </c>
      <c r="D64">
        <f>VLOOKUP(1000000+A64,'Quotazioni calciatori'!C:N,12,FALSE)</f>
        <v>6060</v>
      </c>
      <c r="E64" t="str">
        <f>VLOOKUP(D64,'Leghe Fantacalcio'!B:D,3,FALSE)</f>
        <v>Laurientè</v>
      </c>
      <c r="F64" s="1" t="b">
        <f t="shared" si="0"/>
        <v>0</v>
      </c>
      <c r="G64" t="str">
        <f t="shared" si="1"/>
        <v>if (giocatore.getSquadra().equalsIgnoreCase("Sas") &amp;&amp; giocatore.getNomeFS().equalsIgnoreCase("lauriente")) giocatore.setNomeFSCambiato("Laurientè");</v>
      </c>
    </row>
    <row r="65" spans="1:7" x14ac:dyDescent="0.35">
      <c r="A65">
        <v>111827</v>
      </c>
      <c r="B65" t="s">
        <v>766</v>
      </c>
      <c r="C65" t="s">
        <v>905</v>
      </c>
      <c r="D65">
        <f>VLOOKUP(1000000+A65,'Quotazioni calciatori'!C:N,12,FALSE)</f>
        <v>6844</v>
      </c>
      <c r="E65" t="str">
        <f>VLOOKUP(D65,'Leghe Fantacalcio'!B:D,3,FALSE)</f>
        <v>Rowe</v>
      </c>
      <c r="F65" s="1" t="b">
        <f t="shared" si="0"/>
        <v>1</v>
      </c>
      <c r="G65" t="str">
        <f t="shared" si="1"/>
        <v/>
      </c>
    </row>
    <row r="66" spans="1:7" x14ac:dyDescent="0.35">
      <c r="A66">
        <v>17744</v>
      </c>
      <c r="B66" t="s">
        <v>767</v>
      </c>
      <c r="C66" t="s">
        <v>901</v>
      </c>
      <c r="D66">
        <f>VLOOKUP(1000000+A66,'Quotazioni calciatori'!C:N,12,FALSE)</f>
        <v>779</v>
      </c>
      <c r="E66" t="str">
        <f>VLOOKUP(D66,'Leghe Fantacalcio'!B:D,3,FALSE)</f>
        <v>Cristante</v>
      </c>
      <c r="F66" s="1" t="b">
        <f t="shared" si="0"/>
        <v>1</v>
      </c>
      <c r="G66" t="str">
        <f t="shared" si="1"/>
        <v/>
      </c>
    </row>
    <row r="67" spans="1:7" x14ac:dyDescent="0.35">
      <c r="A67">
        <v>111005</v>
      </c>
      <c r="B67" t="s">
        <v>768</v>
      </c>
      <c r="C67" t="s">
        <v>906</v>
      </c>
      <c r="D67">
        <f>VLOOKUP(1000000+A67,'Quotazioni calciatori'!C:N,12,FALSE)</f>
        <v>5844</v>
      </c>
      <c r="E67" t="str">
        <f>VLOOKUP(D67,'Leghe Fantacalcio'!B:D,3,FALSE)</f>
        <v>Thorstvedt</v>
      </c>
      <c r="F67" s="1" t="b">
        <f t="shared" ref="F67:F130" si="2">EXACT(UPPER(B67),UPPER(E67))</f>
        <v>1</v>
      </c>
      <c r="G67" t="str">
        <f t="shared" ref="G67:G130" si="3">IF(F67,"",CONCATENATE("if (giocatore.getSquadra().equalsIgnoreCase(""",C67,""") &amp;&amp; giocatore.getNomeFS().equalsIgnoreCase(""",B67,""")) giocatore.setNomeFSCambiato(""",E67,""");"))</f>
        <v/>
      </c>
    </row>
    <row r="68" spans="1:7" x14ac:dyDescent="0.35">
      <c r="A68">
        <v>102241</v>
      </c>
      <c r="B68" t="s">
        <v>769</v>
      </c>
      <c r="C68" t="s">
        <v>909</v>
      </c>
      <c r="D68">
        <f>VLOOKUP(1000000+A68,'Quotazioni calciatori'!C:N,12,FALSE)</f>
        <v>7314</v>
      </c>
      <c r="E68" t="str">
        <f>VLOOKUP(D68,'Leghe Fantacalcio'!B:D,3,FALSE)</f>
        <v>Taylor K.</v>
      </c>
      <c r="F68" s="1" t="b">
        <f t="shared" si="2"/>
        <v>0</v>
      </c>
      <c r="G68" t="str">
        <f t="shared" si="3"/>
        <v>if (giocatore.getSquadra().equalsIgnoreCase("Laz") &amp;&amp; giocatore.getNomeFS().equalsIgnoreCase("taylor")) giocatore.setNomeFSCambiato("Taylor K.");</v>
      </c>
    </row>
    <row r="69" spans="1:7" x14ac:dyDescent="0.35">
      <c r="A69">
        <v>17758</v>
      </c>
      <c r="B69" t="s">
        <v>770</v>
      </c>
      <c r="C69" t="s">
        <v>910</v>
      </c>
      <c r="D69">
        <f>VLOOKUP(1000000+A69,'Quotazioni calciatori'!C:N,12,FALSE)</f>
        <v>795</v>
      </c>
      <c r="E69" t="str">
        <f>VLOOKUP(D69,'Leghe Fantacalcio'!B:D,3,FALSE)</f>
        <v>El Shaarawy</v>
      </c>
      <c r="F69" s="1" t="b">
        <f t="shared" si="2"/>
        <v>1</v>
      </c>
      <c r="G69" t="str">
        <f t="shared" si="3"/>
        <v/>
      </c>
    </row>
    <row r="70" spans="1:7" x14ac:dyDescent="0.35">
      <c r="A70">
        <v>66177</v>
      </c>
      <c r="B70" t="s">
        <v>771</v>
      </c>
      <c r="C70" t="s">
        <v>913</v>
      </c>
      <c r="D70">
        <f>VLOOKUP(1000000+A70,'Quotazioni calciatori'!C:N,12,FALSE)</f>
        <v>4734</v>
      </c>
      <c r="E70" t="str">
        <f>VLOOKUP(D70,'Leghe Fantacalcio'!B:D,3,FALSE)</f>
        <v>Miranda J.</v>
      </c>
      <c r="F70" s="1" t="b">
        <f t="shared" si="2"/>
        <v>0</v>
      </c>
      <c r="G70" t="str">
        <f t="shared" si="3"/>
        <v>if (giocatore.getSquadra().equalsIgnoreCase("Bol") &amp;&amp; giocatore.getNomeFS().equalsIgnoreCase("juan miranda")) giocatore.setNomeFSCambiato("Miranda J.");</v>
      </c>
    </row>
    <row r="71" spans="1:7" x14ac:dyDescent="0.35">
      <c r="A71">
        <v>61216</v>
      </c>
      <c r="B71" t="s">
        <v>772</v>
      </c>
      <c r="C71" t="s">
        <v>915</v>
      </c>
      <c r="D71">
        <f>VLOOKUP(1000000+A71,'Quotazioni calciatori'!C:N,12,FALSE)</f>
        <v>5838</v>
      </c>
      <c r="E71" t="str">
        <f>VLOOKUP(D71,'Leghe Fantacalcio'!B:D,3,FALSE)</f>
        <v>Birindelli</v>
      </c>
      <c r="F71" s="1" t="b">
        <f t="shared" si="2"/>
        <v>1</v>
      </c>
      <c r="G71" t="str">
        <f t="shared" si="3"/>
        <v/>
      </c>
    </row>
    <row r="72" spans="1:7" x14ac:dyDescent="0.35">
      <c r="A72">
        <v>109993</v>
      </c>
      <c r="B72" t="s">
        <v>773</v>
      </c>
      <c r="C72" t="s">
        <v>910</v>
      </c>
      <c r="D72">
        <f>VLOOKUP(1000000+A72,'Quotazioni calciatori'!C:N,12,FALSE)</f>
        <v>5750</v>
      </c>
      <c r="E72" t="str">
        <f>VLOOKUP(D72,'Leghe Fantacalcio'!B:D,3,FALSE)</f>
        <v>Ostigard</v>
      </c>
      <c r="F72" s="1" t="b">
        <f t="shared" si="2"/>
        <v>0</v>
      </c>
      <c r="G72" t="str">
        <f t="shared" si="3"/>
        <v>if (giocatore.getSquadra().equalsIgnoreCase("Gen") &amp;&amp; giocatore.getNomeFS().equalsIgnoreCase("østigård")) giocatore.setNomeFSCambiato("Ostigard");</v>
      </c>
    </row>
    <row r="73" spans="1:7" x14ac:dyDescent="0.35">
      <c r="A73">
        <v>113658</v>
      </c>
      <c r="B73" t="s">
        <v>774</v>
      </c>
      <c r="C73" t="s">
        <v>914</v>
      </c>
      <c r="D73">
        <f>VLOOKUP(1000000+A73,'Quotazioni calciatori'!C:N,12,FALSE)</f>
        <v>5982</v>
      </c>
      <c r="E73" t="str">
        <f>VLOOKUP(D73,'Leghe Fantacalcio'!B:D,3,FALSE)</f>
        <v>Spence</v>
      </c>
      <c r="F73" s="1" t="b">
        <f t="shared" si="2"/>
        <v>1</v>
      </c>
      <c r="G73" t="str">
        <f t="shared" si="3"/>
        <v/>
      </c>
    </row>
    <row r="74" spans="1:7" x14ac:dyDescent="0.35">
      <c r="A74">
        <v>70334</v>
      </c>
      <c r="B74" t="s">
        <v>775</v>
      </c>
      <c r="C74" t="s">
        <v>905</v>
      </c>
      <c r="D74">
        <f>VLOOKUP(1000000+A74,'Quotazioni calciatori'!C:N,12,FALSE)</f>
        <v>4431</v>
      </c>
      <c r="E74" t="str">
        <f>VLOOKUP(D74,'Leghe Fantacalcio'!B:D,3,FALSE)</f>
        <v>Carnesecchi</v>
      </c>
      <c r="F74" s="1" t="b">
        <f t="shared" si="2"/>
        <v>1</v>
      </c>
      <c r="G74" t="str">
        <f t="shared" si="3"/>
        <v/>
      </c>
    </row>
    <row r="75" spans="1:7" x14ac:dyDescent="0.35">
      <c r="A75">
        <v>40905</v>
      </c>
      <c r="B75" t="s">
        <v>776</v>
      </c>
      <c r="C75" t="s">
        <v>905</v>
      </c>
      <c r="D75">
        <f>VLOOKUP(1000000+A75,'Quotazioni calciatori'!C:N,12,FALSE)</f>
        <v>4</v>
      </c>
      <c r="E75" t="str">
        <f>VLOOKUP(D75,'Leghe Fantacalcio'!B:D,3,FALSE)</f>
        <v>Sportiello</v>
      </c>
      <c r="F75" s="1" t="b">
        <f t="shared" si="2"/>
        <v>1</v>
      </c>
      <c r="G75" t="str">
        <f t="shared" si="3"/>
        <v/>
      </c>
    </row>
    <row r="76" spans="1:7" x14ac:dyDescent="0.35">
      <c r="A76">
        <v>49089</v>
      </c>
      <c r="B76" t="s">
        <v>777</v>
      </c>
      <c r="C76" t="s">
        <v>904</v>
      </c>
      <c r="D76">
        <f>VLOOKUP(1000000+A76,'Quotazioni calciatori'!C:N,12,FALSE)</f>
        <v>572</v>
      </c>
      <c r="E76" t="str">
        <f>VLOOKUP(D76,'Leghe Fantacalcio'!B:D,3,FALSE)</f>
        <v>Meret</v>
      </c>
      <c r="F76" s="1" t="b">
        <f t="shared" si="2"/>
        <v>1</v>
      </c>
      <c r="G76" t="str">
        <f t="shared" si="3"/>
        <v/>
      </c>
    </row>
    <row r="77" spans="1:7" x14ac:dyDescent="0.35">
      <c r="A77">
        <v>56975</v>
      </c>
      <c r="B77" t="s">
        <v>778</v>
      </c>
      <c r="C77" t="s">
        <v>911</v>
      </c>
      <c r="D77">
        <f>VLOOKUP(1000000+A77,'Quotazioni calciatori'!C:N,12,FALSE)</f>
        <v>5555</v>
      </c>
      <c r="E77" t="str">
        <f>VLOOKUP(D77,'Leghe Fantacalcio'!B:D,3,FALSE)</f>
        <v>Kamara H.</v>
      </c>
      <c r="F77" s="1" t="b">
        <f t="shared" si="2"/>
        <v>0</v>
      </c>
      <c r="G77" t="str">
        <f t="shared" si="3"/>
        <v>if (giocatore.getSquadra().equalsIgnoreCase("Udi") &amp;&amp; giocatore.getNomeFS().equalsIgnoreCase("kamara")) giocatore.setNomeFSCambiato("Kamara H.");</v>
      </c>
    </row>
    <row r="78" spans="1:7" x14ac:dyDescent="0.35">
      <c r="A78">
        <v>66280</v>
      </c>
      <c r="B78" t="s">
        <v>779</v>
      </c>
      <c r="C78" t="s">
        <v>900</v>
      </c>
      <c r="D78">
        <f>VLOOKUP(1000000+A78,'Quotazioni calciatori'!C:N,12,FALSE)</f>
        <v>4657</v>
      </c>
      <c r="E78" t="str">
        <f>VLOOKUP(D78,'Leghe Fantacalcio'!B:D,3,FALSE)</f>
        <v>Celik</v>
      </c>
      <c r="F78" s="1" t="b">
        <f t="shared" si="2"/>
        <v>1</v>
      </c>
      <c r="G78" t="str">
        <f t="shared" si="3"/>
        <v/>
      </c>
    </row>
    <row r="79" spans="1:7" x14ac:dyDescent="0.35">
      <c r="A79">
        <v>66418</v>
      </c>
      <c r="B79" t="s">
        <v>780</v>
      </c>
      <c r="C79" t="s">
        <v>903</v>
      </c>
      <c r="D79">
        <f>VLOOKUP(1000000+A79,'Quotazioni calciatori'!C:N,12,FALSE)</f>
        <v>6664</v>
      </c>
      <c r="E79" t="str">
        <f>VLOOKUP(D79,'Leghe Fantacalcio'!B:D,3,FALSE)</f>
        <v>Delprato</v>
      </c>
      <c r="F79" s="1" t="b">
        <f t="shared" si="2"/>
        <v>1</v>
      </c>
      <c r="G79" t="str">
        <f t="shared" si="3"/>
        <v/>
      </c>
    </row>
    <row r="80" spans="1:7" x14ac:dyDescent="0.35">
      <c r="A80">
        <v>116105</v>
      </c>
      <c r="B80" t="s">
        <v>781</v>
      </c>
      <c r="C80" t="s">
        <v>902</v>
      </c>
      <c r="D80">
        <f>VLOOKUP(1000000+A80,'Quotazioni calciatori'!C:N,12,FALSE)</f>
        <v>6875</v>
      </c>
      <c r="E80" t="str">
        <f>VLOOKUP(D80,'Leghe Fantacalcio'!B:D,3,FALSE)</f>
        <v>Paz N.</v>
      </c>
      <c r="F80" s="1" t="b">
        <f t="shared" si="2"/>
        <v>0</v>
      </c>
      <c r="G80" t="str">
        <f t="shared" si="3"/>
        <v>if (giocatore.getSquadra().equalsIgnoreCase("Com") &amp;&amp; giocatore.getNomeFS().equalsIgnoreCase("paz")) giocatore.setNomeFSCambiato("Paz N.");</v>
      </c>
    </row>
    <row r="81" spans="1:7" x14ac:dyDescent="0.35">
      <c r="A81">
        <v>73082</v>
      </c>
      <c r="B81" t="s">
        <v>782</v>
      </c>
      <c r="C81" t="s">
        <v>917</v>
      </c>
      <c r="D81">
        <f>VLOOKUP(1000000+A81,'Quotazioni calciatori'!C:N,12,FALSE)</f>
        <v>4896</v>
      </c>
      <c r="E81" t="str">
        <f>VLOOKUP(D81,'Leghe Fantacalcio'!B:D,3,FALSE)</f>
        <v>Maldini</v>
      </c>
      <c r="F81" s="1" t="b">
        <f t="shared" si="2"/>
        <v>1</v>
      </c>
      <c r="G81" t="str">
        <f t="shared" si="3"/>
        <v/>
      </c>
    </row>
    <row r="82" spans="1:7" x14ac:dyDescent="0.35">
      <c r="A82">
        <v>117416</v>
      </c>
      <c r="B82" t="s">
        <v>783</v>
      </c>
      <c r="C82" t="s">
        <v>906</v>
      </c>
      <c r="D82">
        <f>VLOOKUP(1000000+A82,'Quotazioni calciatori'!C:N,12,FALSE)</f>
        <v>6677</v>
      </c>
      <c r="E82" t="str">
        <f>VLOOKUP(D82,'Leghe Fantacalcio'!B:D,3,FALSE)</f>
        <v>Adzic</v>
      </c>
      <c r="F82" s="1" t="b">
        <f t="shared" si="2"/>
        <v>1</v>
      </c>
      <c r="G82" t="str">
        <f t="shared" si="3"/>
        <v/>
      </c>
    </row>
    <row r="83" spans="1:7" x14ac:dyDescent="0.35">
      <c r="A83">
        <v>120558</v>
      </c>
      <c r="B83" t="s">
        <v>784</v>
      </c>
      <c r="C83" t="s">
        <v>901</v>
      </c>
      <c r="D83">
        <f>VLOOKUP(1000000+A83,'Quotazioni calciatori'!C:N,12,FALSE)</f>
        <v>7556</v>
      </c>
      <c r="E83" t="str">
        <f>VLOOKUP(D83,'Leghe Fantacalcio'!B:D,3,FALSE)</f>
        <v>Mora</v>
      </c>
      <c r="F83" s="1" t="b">
        <f t="shared" si="2"/>
        <v>0</v>
      </c>
      <c r="G83" t="str">
        <f t="shared" si="3"/>
        <v>if (giocatore.getSquadra().equalsIgnoreCase("Rom") &amp;&amp; giocatore.getNomeFS().equalsIgnoreCase("rodrigo mora")) giocatore.setNomeFSCambiato("Mora");</v>
      </c>
    </row>
    <row r="84" spans="1:7" x14ac:dyDescent="0.35">
      <c r="A84">
        <v>95519</v>
      </c>
      <c r="B84" t="s">
        <v>785</v>
      </c>
      <c r="C84" t="s">
        <v>905</v>
      </c>
      <c r="D84">
        <f>VLOOKUP(1000000+A84,'Quotazioni calciatori'!C:N,12,FALSE)</f>
        <v>5995</v>
      </c>
      <c r="E84" t="str">
        <f>VLOOKUP(D84,'Leghe Fantacalcio'!B:D,3,FALSE)</f>
        <v>De Ketelaere</v>
      </c>
      <c r="F84" s="1" t="b">
        <f t="shared" si="2"/>
        <v>1</v>
      </c>
      <c r="G84" t="str">
        <f t="shared" si="3"/>
        <v/>
      </c>
    </row>
    <row r="85" spans="1:7" x14ac:dyDescent="0.35">
      <c r="A85">
        <v>119848</v>
      </c>
      <c r="B85" t="s">
        <v>786</v>
      </c>
      <c r="C85" t="s">
        <v>912</v>
      </c>
      <c r="D85">
        <f>VLOOKUP(1000000+A85,'Quotazioni calciatori'!C:N,12,FALSE)</f>
        <v>7023</v>
      </c>
      <c r="E85" t="str">
        <f>VLOOKUP(D85,'Leghe Fantacalcio'!B:D,3,FALSE)</f>
        <v>Pellegrino M.</v>
      </c>
      <c r="F85" s="1" t="b">
        <f t="shared" si="2"/>
        <v>0</v>
      </c>
      <c r="G85" t="str">
        <f t="shared" si="3"/>
        <v>if (giocatore.getSquadra().equalsIgnoreCase("Fio") &amp;&amp; giocatore.getNomeFS().equalsIgnoreCase("pellegrino")) giocatore.setNomeFSCambiato("Pellegrino M.");</v>
      </c>
    </row>
    <row r="86" spans="1:7" x14ac:dyDescent="0.35">
      <c r="A86">
        <v>120550</v>
      </c>
      <c r="B86" t="s">
        <v>787</v>
      </c>
      <c r="C86" t="s">
        <v>903</v>
      </c>
      <c r="D86">
        <f>VLOOKUP(1000000+A86,'Quotazioni calciatori'!C:N,12,FALSE)</f>
        <v>7554</v>
      </c>
      <c r="E86" t="str">
        <f>VLOOKUP(D86,'Leghe Fantacalcio'!B:D,3,FALSE)</f>
        <v>Romero D.</v>
      </c>
      <c r="F86" s="1" t="b">
        <f t="shared" si="2"/>
        <v>0</v>
      </c>
      <c r="G86" t="str">
        <f t="shared" si="3"/>
        <v>if (giocatore.getSquadra().equalsIgnoreCase("Par") &amp;&amp; giocatore.getNomeFS().equalsIgnoreCase("romero")) giocatore.setNomeFSCambiato("Romero D.");</v>
      </c>
    </row>
    <row r="87" spans="1:7" x14ac:dyDescent="0.35">
      <c r="A87">
        <v>44633</v>
      </c>
      <c r="B87" t="s">
        <v>919</v>
      </c>
      <c r="C87" t="s">
        <v>904</v>
      </c>
      <c r="D87">
        <f>VLOOKUP(1000000+A87,'Quotazioni calciatori'!C:N,12,FALSE)</f>
        <v>2170</v>
      </c>
      <c r="E87" t="str">
        <f>VLOOKUP(D87,'Leghe Fantacalcio'!B:D,3,FALSE)</f>
        <v>Milinkovic-Savic V.</v>
      </c>
      <c r="F87" s="1" t="b">
        <f t="shared" si="2"/>
        <v>0</v>
      </c>
      <c r="G87" t="str">
        <f t="shared" si="3"/>
        <v>if (giocatore.getSquadra().equalsIgnoreCase("Nap") &amp;&amp; giocatore.getNomeFS().equalsIgnoreCase("milinkovic-savic")) giocatore.setNomeFSCambiato("Milinkovic-Savic V.");</v>
      </c>
    </row>
    <row r="88" spans="1:7" x14ac:dyDescent="0.35">
      <c r="A88">
        <v>110653</v>
      </c>
      <c r="B88" t="s">
        <v>788</v>
      </c>
      <c r="C88" t="s">
        <v>916</v>
      </c>
      <c r="D88">
        <f>VLOOKUP(1000000+A88,'Quotazioni calciatori'!C:N,12,FALSE)</f>
        <v>6415</v>
      </c>
      <c r="E88" t="str">
        <f>VLOOKUP(D88,'Leghe Fantacalcio'!B:D,3,FALSE)</f>
        <v>Palmisani</v>
      </c>
      <c r="F88" s="1" t="b">
        <f t="shared" si="2"/>
        <v>1</v>
      </c>
      <c r="G88" t="str">
        <f t="shared" si="3"/>
        <v/>
      </c>
    </row>
    <row r="89" spans="1:7" x14ac:dyDescent="0.35">
      <c r="A89">
        <v>65667</v>
      </c>
      <c r="B89" t="s">
        <v>789</v>
      </c>
      <c r="C89" t="s">
        <v>917</v>
      </c>
      <c r="D89">
        <f>VLOOKUP(1000000+A89,'Quotazioni calciatori'!C:N,12,FALSE)</f>
        <v>4210</v>
      </c>
      <c r="E89" t="str">
        <f>VLOOKUP(D89,'Leghe Fantacalcio'!B:D,3,FALSE)</f>
        <v>Mina</v>
      </c>
      <c r="F89" s="1" t="b">
        <f t="shared" si="2"/>
        <v>1</v>
      </c>
      <c r="G89" t="str">
        <f t="shared" si="3"/>
        <v/>
      </c>
    </row>
    <row r="90" spans="1:7" x14ac:dyDescent="0.35">
      <c r="A90">
        <v>76574</v>
      </c>
      <c r="B90" t="s">
        <v>790</v>
      </c>
      <c r="C90" t="s">
        <v>913</v>
      </c>
      <c r="D90">
        <f>VLOOKUP(1000000+A90,'Quotazioni calciatori'!C:N,12,FALSE)</f>
        <v>4433</v>
      </c>
      <c r="E90" t="str">
        <f>VLOOKUP(D90,'Leghe Fantacalcio'!B:D,3,FALSE)</f>
        <v>Zortea</v>
      </c>
      <c r="F90" s="1" t="b">
        <f t="shared" si="2"/>
        <v>1</v>
      </c>
      <c r="G90" t="str">
        <f t="shared" si="3"/>
        <v/>
      </c>
    </row>
    <row r="91" spans="1:7" x14ac:dyDescent="0.35">
      <c r="A91">
        <v>118201</v>
      </c>
      <c r="B91" t="s">
        <v>791</v>
      </c>
      <c r="C91" t="s">
        <v>899</v>
      </c>
      <c r="D91">
        <f>VLOOKUP(1000000+A91,'Quotazioni calciatori'!C:N,12,FALSE)</f>
        <v>6495</v>
      </c>
      <c r="E91" t="str">
        <f>VLOOKUP(D91,'Leghe Fantacalcio'!B:D,3,FALSE)</f>
        <v>Comuzzo</v>
      </c>
      <c r="F91" s="1" t="b">
        <f t="shared" si="2"/>
        <v>1</v>
      </c>
      <c r="G91" t="str">
        <f t="shared" si="3"/>
        <v/>
      </c>
    </row>
    <row r="92" spans="1:7" x14ac:dyDescent="0.35">
      <c r="A92">
        <v>102281</v>
      </c>
      <c r="B92" t="s">
        <v>792</v>
      </c>
      <c r="C92" t="s">
        <v>900</v>
      </c>
      <c r="D92">
        <f>VLOOKUP(1000000+A92,'Quotazioni calciatori'!C:N,12,FALSE)</f>
        <v>5520</v>
      </c>
      <c r="E92" t="str">
        <f>VLOOKUP(D92,'Leghe Fantacalcio'!B:D,3,FALSE)</f>
        <v>Cambiaso</v>
      </c>
      <c r="F92" s="1" t="b">
        <f t="shared" si="2"/>
        <v>1</v>
      </c>
      <c r="G92" t="str">
        <f t="shared" si="3"/>
        <v/>
      </c>
    </row>
    <row r="93" spans="1:7" x14ac:dyDescent="0.35">
      <c r="A93">
        <v>113511</v>
      </c>
      <c r="B93" t="s">
        <v>793</v>
      </c>
      <c r="C93" t="s">
        <v>909</v>
      </c>
      <c r="D93">
        <f>VLOOKUP(1000000+A93,'Quotazioni calciatori'!C:N,12,FALSE)</f>
        <v>6320</v>
      </c>
      <c r="E93" t="str">
        <f>VLOOKUP(D93,'Leghe Fantacalcio'!B:D,3,FALSE)</f>
        <v>Doekhi</v>
      </c>
      <c r="F93" s="1" t="b">
        <f t="shared" si="2"/>
        <v>1</v>
      </c>
      <c r="G93" t="str">
        <f t="shared" si="3"/>
        <v/>
      </c>
    </row>
    <row r="94" spans="1:7" x14ac:dyDescent="0.35">
      <c r="A94">
        <v>103455</v>
      </c>
      <c r="B94" t="s">
        <v>794</v>
      </c>
      <c r="C94" t="s">
        <v>902</v>
      </c>
      <c r="D94">
        <f>VLOOKUP(1000000+A94,'Quotazioni calciatori'!C:N,12,FALSE)</f>
        <v>7126</v>
      </c>
      <c r="E94" t="str">
        <f>VLOOKUP(D94,'Leghe Fantacalcio'!B:D,3,FALSE)</f>
        <v>Baturina</v>
      </c>
      <c r="F94" s="1" t="b">
        <f t="shared" si="2"/>
        <v>1</v>
      </c>
      <c r="G94" t="str">
        <f t="shared" si="3"/>
        <v/>
      </c>
    </row>
    <row r="95" spans="1:7" x14ac:dyDescent="0.35">
      <c r="A95">
        <v>113444</v>
      </c>
      <c r="B95" t="s">
        <v>795</v>
      </c>
      <c r="C95" t="s">
        <v>907</v>
      </c>
      <c r="D95">
        <f>VLOOKUP(1000000+A95,'Quotazioni calciatori'!C:N,12,FALSE)</f>
        <v>6372</v>
      </c>
      <c r="E95" t="str">
        <f>VLOOKUP(D95,'Leghe Fantacalcio'!B:D,3,FALSE)</f>
        <v>Moreira</v>
      </c>
      <c r="F95" s="1" t="b">
        <f t="shared" si="2"/>
        <v>1</v>
      </c>
      <c r="G95" t="str">
        <f t="shared" si="3"/>
        <v/>
      </c>
    </row>
    <row r="96" spans="1:7" x14ac:dyDescent="0.35">
      <c r="A96">
        <v>102850</v>
      </c>
      <c r="B96" t="s">
        <v>796</v>
      </c>
      <c r="C96" t="s">
        <v>910</v>
      </c>
      <c r="D96">
        <f>VLOOKUP(1000000+A96,'Quotazioni calciatori'!C:N,12,FALSE)</f>
        <v>5823</v>
      </c>
      <c r="E96" t="str">
        <f>VLOOKUP(D96,'Leghe Fantacalcio'!B:D,3,FALSE)</f>
        <v>Baldanzi</v>
      </c>
      <c r="F96" s="1" t="b">
        <f t="shared" si="2"/>
        <v>1</v>
      </c>
      <c r="G96" t="str">
        <f t="shared" si="3"/>
        <v/>
      </c>
    </row>
    <row r="97" spans="1:7" x14ac:dyDescent="0.35">
      <c r="A97">
        <v>119874</v>
      </c>
      <c r="B97" t="s">
        <v>797</v>
      </c>
      <c r="C97" t="s">
        <v>899</v>
      </c>
      <c r="D97">
        <f>VLOOKUP(1000000+A97,'Quotazioni calciatori'!C:N,12,FALSE)</f>
        <v>7060</v>
      </c>
      <c r="E97" t="str">
        <f>VLOOKUP(D97,'Leghe Fantacalcio'!B:D,3,FALSE)</f>
        <v>Cacciamani</v>
      </c>
      <c r="F97" s="1" t="b">
        <f t="shared" si="2"/>
        <v>1</v>
      </c>
      <c r="G97" t="str">
        <f t="shared" si="3"/>
        <v/>
      </c>
    </row>
    <row r="98" spans="1:7" x14ac:dyDescent="0.35">
      <c r="A98">
        <v>120447</v>
      </c>
      <c r="B98" t="s">
        <v>798</v>
      </c>
      <c r="C98" t="s">
        <v>900</v>
      </c>
      <c r="D98">
        <f>VLOOKUP(1000000+A98,'Quotazioni calciatori'!C:N,12,FALSE)</f>
        <v>7436</v>
      </c>
      <c r="E98" t="str">
        <f>VLOOKUP(D98,'Leghe Fantacalcio'!B:D,3,FALSE)</f>
        <v>Alajbegovic</v>
      </c>
      <c r="F98" s="1" t="b">
        <f t="shared" si="2"/>
        <v>1</v>
      </c>
      <c r="G98" t="str">
        <f t="shared" si="3"/>
        <v/>
      </c>
    </row>
    <row r="99" spans="1:7" x14ac:dyDescent="0.35">
      <c r="A99">
        <v>61894</v>
      </c>
      <c r="B99" t="s">
        <v>799</v>
      </c>
      <c r="C99" t="s">
        <v>904</v>
      </c>
      <c r="D99">
        <f>VLOOKUP(1000000+A99,'Quotazioni calciatori'!C:N,12,FALSE)</f>
        <v>6831</v>
      </c>
      <c r="E99" t="str">
        <f>VLOOKUP(D99,'Leghe Fantacalcio'!B:D,3,FALSE)</f>
        <v>Neres</v>
      </c>
      <c r="F99" s="1" t="b">
        <f t="shared" si="2"/>
        <v>0</v>
      </c>
      <c r="G99" t="str">
        <f t="shared" si="3"/>
        <v>if (giocatore.getSquadra().equalsIgnoreCase("Nap") &amp;&amp; giocatore.getNomeFS().equalsIgnoreCase("david neres")) giocatore.setNomeFSCambiato("Neres");</v>
      </c>
    </row>
    <row r="100" spans="1:7" x14ac:dyDescent="0.35">
      <c r="A100">
        <v>63371</v>
      </c>
      <c r="B100" t="s">
        <v>800</v>
      </c>
      <c r="C100" t="s">
        <v>901</v>
      </c>
      <c r="D100">
        <f>VLOOKUP(1000000+A100,'Quotazioni calciatori'!C:N,12,FALSE)</f>
        <v>5585</v>
      </c>
      <c r="E100" t="str">
        <f>VLOOKUP(D100,'Leghe Fantacalcio'!B:D,3,FALSE)</f>
        <v>Malen</v>
      </c>
      <c r="F100" s="1" t="b">
        <f t="shared" si="2"/>
        <v>1</v>
      </c>
      <c r="G100" t="str">
        <f t="shared" si="3"/>
        <v/>
      </c>
    </row>
    <row r="101" spans="1:7" x14ac:dyDescent="0.35">
      <c r="A101">
        <v>95090</v>
      </c>
      <c r="B101" t="s">
        <v>801</v>
      </c>
      <c r="C101" t="s">
        <v>914</v>
      </c>
      <c r="D101">
        <f>VLOOKUP(1000000+A101,'Quotazioni calciatori'!C:N,12,FALSE)</f>
        <v>5116</v>
      </c>
      <c r="E101" t="str">
        <f>VLOOKUP(D101,'Leghe Fantacalcio'!B:D,3,FALSE)</f>
        <v>Martinez Jo.</v>
      </c>
      <c r="F101" s="1" t="b">
        <f t="shared" si="2"/>
        <v>0</v>
      </c>
      <c r="G101" t="str">
        <f t="shared" si="3"/>
        <v>if (giocatore.getSquadra().equalsIgnoreCase("Int") &amp;&amp; giocatore.getNomeFS().equalsIgnoreCase("josep martinez")) giocatore.setNomeFSCambiato("Martinez Jo.");</v>
      </c>
    </row>
    <row r="102" spans="1:7" x14ac:dyDescent="0.35">
      <c r="A102">
        <v>119945</v>
      </c>
      <c r="B102" t="s">
        <v>802</v>
      </c>
      <c r="C102" t="s">
        <v>901</v>
      </c>
      <c r="D102">
        <f>VLOOKUP(1000000+A102,'Quotazioni calciatori'!C:N,12,FALSE)</f>
        <v>7181</v>
      </c>
      <c r="E102" t="str">
        <f>VLOOKUP(D102,'Leghe Fantacalcio'!B:D,3,FALSE)</f>
        <v>Wesley</v>
      </c>
      <c r="F102" s="1" t="b">
        <f t="shared" si="2"/>
        <v>1</v>
      </c>
      <c r="G102" t="str">
        <f t="shared" si="3"/>
        <v/>
      </c>
    </row>
    <row r="103" spans="1:7" x14ac:dyDescent="0.35">
      <c r="A103">
        <v>26211</v>
      </c>
      <c r="B103" t="s">
        <v>803</v>
      </c>
      <c r="C103" t="s">
        <v>904</v>
      </c>
      <c r="D103">
        <f>VLOOKUP(1000000+A103,'Quotazioni calciatori'!C:N,12,FALSE)</f>
        <v>1852</v>
      </c>
      <c r="E103" t="str">
        <f>VLOOKUP(D103,'Leghe Fantacalcio'!B:D,3,FALSE)</f>
        <v>Spinazzola</v>
      </c>
      <c r="F103" s="1" t="b">
        <f t="shared" si="2"/>
        <v>1</v>
      </c>
      <c r="G103" t="str">
        <f t="shared" si="3"/>
        <v/>
      </c>
    </row>
    <row r="104" spans="1:7" x14ac:dyDescent="0.35">
      <c r="A104">
        <v>115179</v>
      </c>
      <c r="B104" t="s">
        <v>804</v>
      </c>
      <c r="C104" t="s">
        <v>916</v>
      </c>
      <c r="D104">
        <f>VLOOKUP(1000000+A104,'Quotazioni calciatori'!C:N,12,FALSE)</f>
        <v>7469</v>
      </c>
      <c r="E104" t="str">
        <f>VLOOKUP(D104,'Leghe Fantacalcio'!B:D,3,FALSE)</f>
        <v>Bracaglia</v>
      </c>
      <c r="F104" s="1" t="b">
        <f t="shared" si="2"/>
        <v>1</v>
      </c>
      <c r="G104" t="str">
        <f t="shared" si="3"/>
        <v/>
      </c>
    </row>
    <row r="105" spans="1:7" x14ac:dyDescent="0.35">
      <c r="A105">
        <v>38053</v>
      </c>
      <c r="B105" t="s">
        <v>805</v>
      </c>
      <c r="C105" t="s">
        <v>907</v>
      </c>
      <c r="D105">
        <f>VLOOKUP(1000000+A105,'Quotazioni calciatori'!C:N,12,FALSE)</f>
        <v>2379</v>
      </c>
      <c r="E105" t="str">
        <f>VLOOKUP(D105,'Leghe Fantacalcio'!B:D,3,FALSE)</f>
        <v>Rabiot</v>
      </c>
      <c r="F105" s="1" t="b">
        <f t="shared" si="2"/>
        <v>1</v>
      </c>
      <c r="G105" t="str">
        <f t="shared" si="3"/>
        <v/>
      </c>
    </row>
    <row r="106" spans="1:7" x14ac:dyDescent="0.35">
      <c r="A106">
        <v>109651</v>
      </c>
      <c r="B106" t="s">
        <v>806</v>
      </c>
      <c r="C106" t="s">
        <v>914</v>
      </c>
      <c r="D106">
        <f>VLOOKUP(1000000+A106,'Quotazioni calciatori'!C:N,12,FALSE)</f>
        <v>6274</v>
      </c>
      <c r="E106" t="str">
        <f>VLOOKUP(D106,'Leghe Fantacalcio'!B:D,3,FALSE)</f>
        <v>Diouf</v>
      </c>
      <c r="F106" s="1" t="b">
        <f t="shared" si="2"/>
        <v>1</v>
      </c>
      <c r="G106" t="str">
        <f t="shared" si="3"/>
        <v/>
      </c>
    </row>
    <row r="107" spans="1:7" x14ac:dyDescent="0.35">
      <c r="A107">
        <v>38482</v>
      </c>
      <c r="B107" t="s">
        <v>807</v>
      </c>
      <c r="C107" t="s">
        <v>914</v>
      </c>
      <c r="D107">
        <f>VLOOKUP(1000000+A107,'Quotazioni calciatori'!C:N,12,FALSE)</f>
        <v>152</v>
      </c>
      <c r="E107" t="str">
        <f>VLOOKUP(D107,'Leghe Fantacalcio'!B:D,3,FALSE)</f>
        <v>Zielinski</v>
      </c>
      <c r="F107" s="1" t="b">
        <f t="shared" si="2"/>
        <v>1</v>
      </c>
      <c r="G107" t="str">
        <f t="shared" si="3"/>
        <v/>
      </c>
    </row>
    <row r="108" spans="1:7" x14ac:dyDescent="0.35">
      <c r="A108">
        <v>95073</v>
      </c>
      <c r="B108" t="s">
        <v>808</v>
      </c>
      <c r="C108" t="s">
        <v>900</v>
      </c>
      <c r="D108">
        <f>VLOOKUP(1000000+A108,'Quotazioni calciatori'!C:N,12,FALSE)</f>
        <v>4973</v>
      </c>
      <c r="E108" t="str">
        <f>VLOOKUP(D108,'Leghe Fantacalcio'!B:D,3,FALSE)</f>
        <v>McKennie</v>
      </c>
      <c r="F108" s="1" t="b">
        <f t="shared" si="2"/>
        <v>1</v>
      </c>
      <c r="G108" t="str">
        <f t="shared" si="3"/>
        <v/>
      </c>
    </row>
    <row r="109" spans="1:7" x14ac:dyDescent="0.35">
      <c r="A109">
        <v>95331</v>
      </c>
      <c r="B109" t="s">
        <v>809</v>
      </c>
      <c r="C109" t="s">
        <v>900</v>
      </c>
      <c r="D109">
        <f>VLOOKUP(1000000+A109,'Quotazioni calciatori'!C:N,12,FALSE)</f>
        <v>5951</v>
      </c>
      <c r="E109" t="str">
        <f>VLOOKUP(D109,'Leghe Fantacalcio'!B:D,3,FALSE)</f>
        <v>Kolo Muani</v>
      </c>
      <c r="F109" s="1" t="b">
        <f t="shared" si="2"/>
        <v>1</v>
      </c>
      <c r="G109" t="str">
        <f t="shared" si="3"/>
        <v/>
      </c>
    </row>
    <row r="110" spans="1:7" x14ac:dyDescent="0.35">
      <c r="A110">
        <v>119548</v>
      </c>
      <c r="B110" t="s">
        <v>810</v>
      </c>
      <c r="C110" t="s">
        <v>915</v>
      </c>
      <c r="D110">
        <f>VLOOKUP(1000000+A110,'Quotazioni calciatori'!C:N,12,FALSE)</f>
        <v>7523</v>
      </c>
      <c r="E110" t="str">
        <f>VLOOKUP(D110,'Leghe Fantacalcio'!B:D,3,FALSE)</f>
        <v>Varela G.</v>
      </c>
      <c r="F110" s="1" t="b">
        <f t="shared" si="2"/>
        <v>0</v>
      </c>
      <c r="G110" t="str">
        <f t="shared" si="3"/>
        <v>if (giocatore.getSquadra().equalsIgnoreCase("Mon") &amp;&amp; giocatore.getNomeFS().equalsIgnoreCase("gustavo varela")) giocatore.setNomeFSCambiato("Varela G.");</v>
      </c>
    </row>
    <row r="111" spans="1:7" x14ac:dyDescent="0.35">
      <c r="A111">
        <v>58086</v>
      </c>
      <c r="B111" t="s">
        <v>811</v>
      </c>
      <c r="C111" t="s">
        <v>911</v>
      </c>
      <c r="D111">
        <f>VLOOKUP(1000000+A111,'Quotazioni calciatori'!C:N,12,FALSE)</f>
        <v>5637</v>
      </c>
      <c r="E111" t="str">
        <f>VLOOKUP(D111,'Leghe Fantacalcio'!B:D,3,FALSE)</f>
        <v>Davis K.</v>
      </c>
      <c r="F111" s="1" t="b">
        <f t="shared" si="2"/>
        <v>0</v>
      </c>
      <c r="G111" t="str">
        <f t="shared" si="3"/>
        <v>if (giocatore.getSquadra().equalsIgnoreCase("Udi") &amp;&amp; giocatore.getNomeFS().equalsIgnoreCase("davis")) giocatore.setNomeFSCambiato("Davis K.");</v>
      </c>
    </row>
    <row r="112" spans="1:7" x14ac:dyDescent="0.35">
      <c r="A112">
        <v>117150</v>
      </c>
      <c r="B112" t="s">
        <v>812</v>
      </c>
      <c r="C112" t="s">
        <v>914</v>
      </c>
      <c r="D112">
        <f>VLOOKUP(1000000+A112,'Quotazioni calciatori'!C:N,12,FALSE)</f>
        <v>1926</v>
      </c>
      <c r="E112" t="str">
        <f>VLOOKUP(D112,'Leghe Fantacalcio'!B:D,3,FALSE)</f>
        <v>Di Gennaro</v>
      </c>
      <c r="F112" s="1" t="b">
        <f t="shared" si="2"/>
        <v>1</v>
      </c>
      <c r="G112" t="str">
        <f t="shared" si="3"/>
        <v/>
      </c>
    </row>
    <row r="113" spans="1:7" x14ac:dyDescent="0.35">
      <c r="A113">
        <v>39507</v>
      </c>
      <c r="B113" t="s">
        <v>813</v>
      </c>
      <c r="C113" t="s">
        <v>914</v>
      </c>
      <c r="D113">
        <f>VLOOKUP(1000000+A113,'Quotazioni calciatori'!C:N,12,FALSE)</f>
        <v>2814</v>
      </c>
      <c r="E113" t="str">
        <f>VLOOKUP(D113,'Leghe Fantacalcio'!B:D,3,FALSE)</f>
        <v>Provedel</v>
      </c>
      <c r="F113" s="1" t="b">
        <f t="shared" si="2"/>
        <v>1</v>
      </c>
      <c r="G113" t="str">
        <f t="shared" si="3"/>
        <v/>
      </c>
    </row>
    <row r="114" spans="1:7" x14ac:dyDescent="0.35">
      <c r="A114">
        <v>43014</v>
      </c>
      <c r="B114" t="s">
        <v>814</v>
      </c>
      <c r="C114" t="s">
        <v>905</v>
      </c>
      <c r="D114">
        <f>VLOOKUP(1000000+A114,'Quotazioni calciatori'!C:N,12,FALSE)</f>
        <v>554</v>
      </c>
      <c r="E114" t="str">
        <f>VLOOKUP(D114,'Leghe Fantacalcio'!B:D,3,FALSE)</f>
        <v>Zappacosta</v>
      </c>
      <c r="F114" s="1" t="b">
        <f t="shared" si="2"/>
        <v>1</v>
      </c>
      <c r="G114" t="str">
        <f t="shared" si="3"/>
        <v/>
      </c>
    </row>
    <row r="115" spans="1:7" x14ac:dyDescent="0.35">
      <c r="A115">
        <v>114323</v>
      </c>
      <c r="B115" t="s">
        <v>815</v>
      </c>
      <c r="C115" t="s">
        <v>906</v>
      </c>
      <c r="D115">
        <f>VLOOKUP(1000000+A115,'Quotazioni calciatori'!C:N,12,FALSE)</f>
        <v>5851</v>
      </c>
      <c r="E115" t="str">
        <f>VLOOKUP(D115,'Leghe Fantacalcio'!B:D,3,FALSE)</f>
        <v>Doig</v>
      </c>
      <c r="F115" s="1" t="b">
        <f t="shared" si="2"/>
        <v>1</v>
      </c>
      <c r="G115" t="str">
        <f t="shared" si="3"/>
        <v/>
      </c>
    </row>
    <row r="116" spans="1:7" x14ac:dyDescent="0.35">
      <c r="A116">
        <v>102806</v>
      </c>
      <c r="B116" t="s">
        <v>816</v>
      </c>
      <c r="C116" t="s">
        <v>907</v>
      </c>
      <c r="D116">
        <f>VLOOKUP(1000000+A116,'Quotazioni calciatori'!C:N,12,FALSE)</f>
        <v>5739</v>
      </c>
      <c r="E116" t="str">
        <f>VLOOKUP(D116,'Leghe Fantacalcio'!B:D,3,FALSE)</f>
        <v>De Winter</v>
      </c>
      <c r="F116" s="1" t="b">
        <f t="shared" si="2"/>
        <v>1</v>
      </c>
      <c r="G116" t="str">
        <f t="shared" si="3"/>
        <v/>
      </c>
    </row>
    <row r="117" spans="1:7" x14ac:dyDescent="0.35">
      <c r="A117">
        <v>65433</v>
      </c>
      <c r="B117" t="s">
        <v>817</v>
      </c>
      <c r="C117" t="s">
        <v>905</v>
      </c>
      <c r="D117">
        <f>VLOOKUP(1000000+A117,'Quotazioni calciatori'!C:N,12,FALSE)</f>
        <v>4887</v>
      </c>
      <c r="E117" t="str">
        <f>VLOOKUP(D117,'Leghe Fantacalcio'!B:D,3,FALSE)</f>
        <v>Bellanova</v>
      </c>
      <c r="F117" s="1" t="b">
        <f t="shared" si="2"/>
        <v>1</v>
      </c>
      <c r="G117" t="str">
        <f t="shared" si="3"/>
        <v/>
      </c>
    </row>
    <row r="118" spans="1:7" x14ac:dyDescent="0.35">
      <c r="A118">
        <v>115130</v>
      </c>
      <c r="B118" t="s">
        <v>818</v>
      </c>
      <c r="C118" t="s">
        <v>911</v>
      </c>
      <c r="D118">
        <f>VLOOKUP(1000000+A118,'Quotazioni calciatori'!C:N,12,FALSE)</f>
        <v>6021</v>
      </c>
      <c r="E118" t="str">
        <f>VLOOKUP(D118,'Leghe Fantacalcio'!B:D,3,FALSE)</f>
        <v>Abankwah</v>
      </c>
      <c r="F118" s="1" t="b">
        <f t="shared" si="2"/>
        <v>1</v>
      </c>
      <c r="G118" t="str">
        <f t="shared" si="3"/>
        <v/>
      </c>
    </row>
    <row r="119" spans="1:7" x14ac:dyDescent="0.35">
      <c r="A119">
        <v>43177</v>
      </c>
      <c r="B119" t="s">
        <v>819</v>
      </c>
      <c r="C119" t="s">
        <v>909</v>
      </c>
      <c r="D119">
        <f>VLOOKUP(1000000+A119,'Quotazioni calciatori'!C:N,12,FALSE)</f>
        <v>632</v>
      </c>
      <c r="E119" t="str">
        <f>VLOOKUP(D119,'Leghe Fantacalcio'!B:D,3,FALSE)</f>
        <v>Zaccagni</v>
      </c>
      <c r="F119" s="1" t="b">
        <f t="shared" si="2"/>
        <v>1</v>
      </c>
      <c r="G119" t="str">
        <f t="shared" si="3"/>
        <v/>
      </c>
    </row>
    <row r="120" spans="1:7" x14ac:dyDescent="0.35">
      <c r="A120">
        <v>118992</v>
      </c>
      <c r="B120" t="s">
        <v>820</v>
      </c>
      <c r="C120" t="s">
        <v>918</v>
      </c>
      <c r="D120">
        <f>VLOOKUP(1000000+A120,'Quotazioni calciatori'!C:N,12,FALSE)</f>
        <v>6549</v>
      </c>
      <c r="E120" t="str">
        <f>VLOOKUP(D120,'Leghe Fantacalcio'!B:D,3,FALSE)</f>
        <v>Pierotti</v>
      </c>
      <c r="F120" s="1" t="b">
        <f t="shared" si="2"/>
        <v>1</v>
      </c>
      <c r="G120" t="str">
        <f t="shared" si="3"/>
        <v/>
      </c>
    </row>
    <row r="121" spans="1:7" x14ac:dyDescent="0.35">
      <c r="A121">
        <v>73202</v>
      </c>
      <c r="B121" t="s">
        <v>821</v>
      </c>
      <c r="C121" t="s">
        <v>902</v>
      </c>
      <c r="D121">
        <f>VLOOKUP(1000000+A121,'Quotazioni calciatori'!C:N,12,FALSE)</f>
        <v>5559</v>
      </c>
      <c r="E121" t="str">
        <f>VLOOKUP(D121,'Leghe Fantacalcio'!B:D,3,FALSE)</f>
        <v>Da Cunha</v>
      </c>
      <c r="F121" s="1" t="b">
        <f t="shared" si="2"/>
        <v>1</v>
      </c>
      <c r="G121" t="str">
        <f t="shared" si="3"/>
        <v/>
      </c>
    </row>
    <row r="122" spans="1:7" x14ac:dyDescent="0.35">
      <c r="A122">
        <v>77814</v>
      </c>
      <c r="B122" t="s">
        <v>822</v>
      </c>
      <c r="C122" t="s">
        <v>908</v>
      </c>
      <c r="D122">
        <f>VLOOKUP(1000000+A122,'Quotazioni calciatori'!C:N,12,FALSE)</f>
        <v>5507</v>
      </c>
      <c r="E122" t="str">
        <f>VLOOKUP(D122,'Leghe Fantacalcio'!B:D,3,FALSE)</f>
        <v>Busio</v>
      </c>
      <c r="F122" s="1" t="b">
        <f t="shared" si="2"/>
        <v>1</v>
      </c>
      <c r="G122" t="str">
        <f t="shared" si="3"/>
        <v/>
      </c>
    </row>
    <row r="123" spans="1:7" x14ac:dyDescent="0.35">
      <c r="A123">
        <v>119063</v>
      </c>
      <c r="B123" t="s">
        <v>823</v>
      </c>
      <c r="C123" t="s">
        <v>912</v>
      </c>
      <c r="D123">
        <f>VLOOKUP(1000000+A123,'Quotazioni calciatori'!C:N,12,FALSE)</f>
        <v>6827</v>
      </c>
      <c r="E123" t="str">
        <f>VLOOKUP(D123,'Leghe Fantacalcio'!B:D,3,FALSE)</f>
        <v>Njie</v>
      </c>
      <c r="F123" s="1" t="b">
        <f t="shared" si="2"/>
        <v>1</v>
      </c>
      <c r="G123" t="str">
        <f t="shared" si="3"/>
        <v/>
      </c>
    </row>
    <row r="124" spans="1:7" x14ac:dyDescent="0.35">
      <c r="A124">
        <v>53582</v>
      </c>
      <c r="B124" t="s">
        <v>824</v>
      </c>
      <c r="C124" t="s">
        <v>913</v>
      </c>
      <c r="D124">
        <f>VLOOKUP(1000000+A124,'Quotazioni calciatori'!C:N,12,FALSE)</f>
        <v>6675</v>
      </c>
      <c r="E124" t="str">
        <f>VLOOKUP(D124,'Leghe Fantacalcio'!B:D,3,FALSE)</f>
        <v>Dovbyk</v>
      </c>
      <c r="F124" s="1" t="b">
        <f t="shared" si="2"/>
        <v>1</v>
      </c>
      <c r="G124" t="str">
        <f t="shared" si="3"/>
        <v/>
      </c>
    </row>
    <row r="125" spans="1:7" x14ac:dyDescent="0.35">
      <c r="A125">
        <v>102766</v>
      </c>
      <c r="B125" t="s">
        <v>825</v>
      </c>
      <c r="C125" t="s">
        <v>909</v>
      </c>
      <c r="D125">
        <f>VLOOKUP(1000000+A125,'Quotazioni calciatori'!C:N,12,FALSE)</f>
        <v>5500</v>
      </c>
      <c r="E125" t="str">
        <f>VLOOKUP(D125,'Leghe Fantacalcio'!B:D,3,FALSE)</f>
        <v>Cancellieri</v>
      </c>
      <c r="F125" s="1" t="b">
        <f t="shared" si="2"/>
        <v>1</v>
      </c>
      <c r="G125" t="str">
        <f t="shared" si="3"/>
        <v/>
      </c>
    </row>
    <row r="126" spans="1:7" x14ac:dyDescent="0.35">
      <c r="A126">
        <v>77144</v>
      </c>
      <c r="B126" t="s">
        <v>826</v>
      </c>
      <c r="C126" t="s">
        <v>911</v>
      </c>
      <c r="D126">
        <f>VLOOKUP(1000000+A126,'Quotazioni calciatori'!C:N,12,FALSE)</f>
        <v>6462</v>
      </c>
      <c r="E126" t="str">
        <f>VLOOKUP(D126,'Leghe Fantacalcio'!B:D,3,FALSE)</f>
        <v>Okoye</v>
      </c>
      <c r="F126" s="1" t="b">
        <f t="shared" si="2"/>
        <v>1</v>
      </c>
      <c r="G126" t="str">
        <f t="shared" si="3"/>
        <v/>
      </c>
    </row>
    <row r="127" spans="1:7" x14ac:dyDescent="0.35">
      <c r="A127">
        <v>51611</v>
      </c>
      <c r="B127" t="s">
        <v>827</v>
      </c>
      <c r="C127" t="s">
        <v>914</v>
      </c>
      <c r="D127">
        <f>VLOOKUP(1000000+A127,'Quotazioni calciatori'!C:N,12,FALSE)</f>
        <v>4159</v>
      </c>
      <c r="E127" t="str">
        <f>VLOOKUP(D127,'Leghe Fantacalcio'!B:D,3,FALSE)</f>
        <v>Akanji</v>
      </c>
      <c r="F127" s="1" t="b">
        <f t="shared" si="2"/>
        <v>1</v>
      </c>
      <c r="G127" t="str">
        <f t="shared" si="3"/>
        <v/>
      </c>
    </row>
    <row r="128" spans="1:7" x14ac:dyDescent="0.35">
      <c r="A128">
        <v>67743</v>
      </c>
      <c r="B128" t="s">
        <v>828</v>
      </c>
      <c r="C128" t="s">
        <v>901</v>
      </c>
      <c r="D128">
        <f>VLOOKUP(1000000+A128,'Quotazioni calciatori'!C:N,12,FALSE)</f>
        <v>4317</v>
      </c>
      <c r="E128" t="str">
        <f>VLOOKUP(D128,'Leghe Fantacalcio'!B:D,3,FALSE)</f>
        <v>N'Dicka</v>
      </c>
      <c r="F128" s="1" t="b">
        <f t="shared" si="2"/>
        <v>0</v>
      </c>
      <c r="G128" t="str">
        <f t="shared" si="3"/>
        <v>if (giocatore.getSquadra().equalsIgnoreCase("Rom") &amp;&amp; giocatore.getNomeFS().equalsIgnoreCase("ndicka")) giocatore.setNomeFSCambiato("N'Dicka");</v>
      </c>
    </row>
    <row r="129" spans="1:7" x14ac:dyDescent="0.35">
      <c r="A129">
        <v>118586</v>
      </c>
      <c r="B129" t="s">
        <v>829</v>
      </c>
      <c r="C129" t="s">
        <v>912</v>
      </c>
      <c r="D129">
        <f>VLOOKUP(1000000+A129,'Quotazioni calciatori'!C:N,12,FALSE)</f>
        <v>6531</v>
      </c>
      <c r="E129" t="str">
        <f>VLOOKUP(D129,'Leghe Fantacalcio'!B:D,3,FALSE)</f>
        <v>Jimenez A.</v>
      </c>
      <c r="F129" s="1" t="b">
        <f t="shared" si="2"/>
        <v>0</v>
      </c>
      <c r="G129" t="str">
        <f t="shared" si="3"/>
        <v>if (giocatore.getSquadra().equalsIgnoreCase("Fio") &amp;&amp; giocatore.getNomeFS().equalsIgnoreCase("alex jimenez")) giocatore.setNomeFSCambiato("Jimenez A.");</v>
      </c>
    </row>
    <row r="130" spans="1:7" x14ac:dyDescent="0.35">
      <c r="A130">
        <v>66186</v>
      </c>
      <c r="B130" t="s">
        <v>830</v>
      </c>
      <c r="C130" t="s">
        <v>911</v>
      </c>
      <c r="D130">
        <f>VLOOKUP(1000000+A130,'Quotazioni calciatori'!C:N,12,FALSE)</f>
        <v>6684</v>
      </c>
      <c r="E130" t="str">
        <f>VLOOKUP(D130,'Leghe Fantacalcio'!B:D,3,FALSE)</f>
        <v>Ekkelenkamp</v>
      </c>
      <c r="F130" s="1" t="b">
        <f t="shared" si="2"/>
        <v>1</v>
      </c>
      <c r="G130" t="str">
        <f t="shared" si="3"/>
        <v/>
      </c>
    </row>
    <row r="131" spans="1:7" x14ac:dyDescent="0.35">
      <c r="A131">
        <v>61532</v>
      </c>
      <c r="B131" t="s">
        <v>831</v>
      </c>
      <c r="C131" t="s">
        <v>909</v>
      </c>
      <c r="D131">
        <f>VLOOKUP(1000000+A131,'Quotazioni calciatori'!C:N,12,FALSE)</f>
        <v>2848</v>
      </c>
      <c r="E131" t="str">
        <f>VLOOKUP(D131,'Leghe Fantacalcio'!B:D,3,FALSE)</f>
        <v>Frattesi</v>
      </c>
      <c r="F131" s="1" t="b">
        <f t="shared" ref="F131:F194" si="4">EXACT(UPPER(B131),UPPER(E131))</f>
        <v>1</v>
      </c>
      <c r="G131" t="str">
        <f t="shared" ref="G131:G194" si="5">IF(F131,"",CONCATENATE("if (giocatore.getSquadra().equalsIgnoreCase(""",C131,""") &amp;&amp; giocatore.getNomeFS().equalsIgnoreCase(""",B131,""")) giocatore.setNomeFSCambiato(""",E131,""");"))</f>
        <v/>
      </c>
    </row>
    <row r="132" spans="1:7" x14ac:dyDescent="0.35">
      <c r="A132">
        <v>16909</v>
      </c>
      <c r="B132" t="s">
        <v>832</v>
      </c>
      <c r="C132" t="s">
        <v>907</v>
      </c>
      <c r="D132">
        <f>VLOOKUP(1000000+A132,'Quotazioni calciatori'!C:N,12,FALSE)</f>
        <v>2606</v>
      </c>
      <c r="E132" t="str">
        <f>VLOOKUP(D132,'Leghe Fantacalcio'!B:D,3,FALSE)</f>
        <v>Modric</v>
      </c>
      <c r="F132" s="1" t="b">
        <f t="shared" si="4"/>
        <v>1</v>
      </c>
      <c r="G132" t="str">
        <f t="shared" si="5"/>
        <v/>
      </c>
    </row>
    <row r="133" spans="1:7" x14ac:dyDescent="0.35">
      <c r="A133">
        <v>120530</v>
      </c>
      <c r="B133" t="s">
        <v>833</v>
      </c>
      <c r="C133" t="s">
        <v>912</v>
      </c>
      <c r="D133">
        <f>VLOOKUP(1000000+A133,'Quotazioni calciatori'!C:N,12,FALSE)</f>
        <v>7078</v>
      </c>
      <c r="E133" t="str">
        <f>VLOOKUP(D133,'Leghe Fantacalcio'!B:D,3,FALSE)</f>
        <v>Mastantuono</v>
      </c>
      <c r="F133" s="1" t="b">
        <f t="shared" si="4"/>
        <v>1</v>
      </c>
      <c r="G133" t="str">
        <f t="shared" si="5"/>
        <v/>
      </c>
    </row>
    <row r="134" spans="1:7" x14ac:dyDescent="0.35">
      <c r="A134">
        <v>60802</v>
      </c>
      <c r="B134" t="s">
        <v>834</v>
      </c>
      <c r="C134" t="s">
        <v>899</v>
      </c>
      <c r="D134">
        <f>VLOOKUP(1000000+A134,'Quotazioni calciatori'!C:N,12,FALSE)</f>
        <v>2061</v>
      </c>
      <c r="E134" t="str">
        <f>VLOOKUP(D134,'Leghe Fantacalcio'!B:D,3,FALSE)</f>
        <v>Simeone</v>
      </c>
      <c r="F134" s="1" t="b">
        <f t="shared" si="4"/>
        <v>1</v>
      </c>
      <c r="G134" t="str">
        <f t="shared" si="5"/>
        <v/>
      </c>
    </row>
    <row r="135" spans="1:7" x14ac:dyDescent="0.35">
      <c r="A135">
        <v>61870</v>
      </c>
      <c r="B135" t="s">
        <v>835</v>
      </c>
      <c r="C135" t="s">
        <v>905</v>
      </c>
      <c r="D135">
        <f>VLOOKUP(1000000+A135,'Quotazioni calciatori'!C:N,12,FALSE)</f>
        <v>2137</v>
      </c>
      <c r="E135" t="str">
        <f>VLOOKUP(D135,'Leghe Fantacalcio'!B:D,3,FALSE)</f>
        <v>Scamacca</v>
      </c>
      <c r="F135" s="1" t="b">
        <f t="shared" si="4"/>
        <v>1</v>
      </c>
      <c r="G135" t="str">
        <f t="shared" si="5"/>
        <v/>
      </c>
    </row>
    <row r="136" spans="1:7" x14ac:dyDescent="0.35">
      <c r="A136">
        <v>109711</v>
      </c>
      <c r="B136" t="s">
        <v>836</v>
      </c>
      <c r="C136" t="s">
        <v>916</v>
      </c>
      <c r="D136">
        <f>VLOOKUP(1000000+A136,'Quotazioni calciatori'!C:N,12,FALSE)</f>
        <v>5436</v>
      </c>
      <c r="E136" t="str">
        <f>VLOOKUP(D136,'Leghe Fantacalcio'!B:D,3,FALSE)</f>
        <v>Raimondo</v>
      </c>
      <c r="F136" s="1" t="b">
        <f t="shared" si="4"/>
        <v>1</v>
      </c>
      <c r="G136" t="str">
        <f t="shared" si="5"/>
        <v/>
      </c>
    </row>
    <row r="137" spans="1:7" x14ac:dyDescent="0.35">
      <c r="A137">
        <v>118419</v>
      </c>
      <c r="B137" t="s">
        <v>837</v>
      </c>
      <c r="C137" t="s">
        <v>902</v>
      </c>
      <c r="D137">
        <f>VLOOKUP(1000000+A137,'Quotazioni calciatori'!C:N,12,FALSE)</f>
        <v>6967</v>
      </c>
      <c r="E137" t="str">
        <f>VLOOKUP(D137,'Leghe Fantacalcio'!B:D,3,FALSE)</f>
        <v>Diao</v>
      </c>
      <c r="F137" s="1" t="b">
        <f t="shared" si="4"/>
        <v>1</v>
      </c>
      <c r="G137" t="str">
        <f t="shared" si="5"/>
        <v/>
      </c>
    </row>
    <row r="138" spans="1:7" x14ac:dyDescent="0.35">
      <c r="A138">
        <v>119094</v>
      </c>
      <c r="B138" t="s">
        <v>838</v>
      </c>
      <c r="C138" t="s">
        <v>901</v>
      </c>
      <c r="D138">
        <f>VLOOKUP(1000000+A138,'Quotazioni calciatori'!C:N,12,FALSE)</f>
        <v>6572</v>
      </c>
      <c r="E138" t="str">
        <f>VLOOKUP(D138,'Leghe Fantacalcio'!B:D,3,FALSE)</f>
        <v>Castro S.</v>
      </c>
      <c r="F138" s="1" t="b">
        <f t="shared" si="4"/>
        <v>0</v>
      </c>
      <c r="G138" t="str">
        <f t="shared" si="5"/>
        <v>if (giocatore.getSquadra().equalsIgnoreCase("Rom") &amp;&amp; giocatore.getNomeFS().equalsIgnoreCase("castro")) giocatore.setNomeFSCambiato("Castro S.");</v>
      </c>
    </row>
    <row r="139" spans="1:7" x14ac:dyDescent="0.35">
      <c r="A139">
        <v>116477</v>
      </c>
      <c r="B139" t="s">
        <v>839</v>
      </c>
      <c r="C139" t="s">
        <v>916</v>
      </c>
      <c r="D139">
        <f>VLOOKUP(1000000+A139,'Quotazioni calciatori'!C:N,12,FALSE)</f>
        <v>6204</v>
      </c>
      <c r="E139" t="str">
        <f>VLOOKUP(D139,'Leghe Fantacalcio'!B:D,3,FALSE)</f>
        <v>Kvernadze</v>
      </c>
      <c r="F139" s="1" t="b">
        <f t="shared" si="4"/>
        <v>1</v>
      </c>
      <c r="G139" t="str">
        <f t="shared" si="5"/>
        <v/>
      </c>
    </row>
    <row r="140" spans="1:7" x14ac:dyDescent="0.35">
      <c r="A140">
        <v>70392</v>
      </c>
      <c r="B140" t="s">
        <v>840</v>
      </c>
      <c r="C140" t="s">
        <v>901</v>
      </c>
      <c r="D140">
        <f>VLOOKUP(1000000+A140,'Quotazioni calciatori'!C:N,12,FALSE)</f>
        <v>5589</v>
      </c>
      <c r="E140" t="str">
        <f>VLOOKUP(D140,'Leghe Fantacalcio'!B:D,3,FALSE)</f>
        <v>Konè M.</v>
      </c>
      <c r="F140" s="1" t="b">
        <f t="shared" si="4"/>
        <v>0</v>
      </c>
      <c r="G140" t="str">
        <f t="shared" si="5"/>
        <v>if (giocatore.getSquadra().equalsIgnoreCase("Rom") &amp;&amp; giocatore.getNomeFS().equalsIgnoreCase("kone")) giocatore.setNomeFSCambiato("Konè M.");</v>
      </c>
    </row>
    <row r="141" spans="1:7" x14ac:dyDescent="0.35">
      <c r="A141">
        <v>50050</v>
      </c>
      <c r="B141" t="s">
        <v>841</v>
      </c>
      <c r="C141" t="s">
        <v>904</v>
      </c>
      <c r="D141">
        <f>VLOOKUP(1000000+A141,'Quotazioni calciatori'!C:N,12,FALSE)</f>
        <v>4220</v>
      </c>
      <c r="E141" t="str">
        <f>VLOOKUP(D141,'Leghe Fantacalcio'!B:D,3,FALSE)</f>
        <v>Zambo Anguissa</v>
      </c>
      <c r="F141" s="1" t="b">
        <f t="shared" si="4"/>
        <v>0</v>
      </c>
      <c r="G141" t="str">
        <f t="shared" si="5"/>
        <v>if (giocatore.getSquadra().equalsIgnoreCase("Nap") &amp;&amp; giocatore.getNomeFS().equalsIgnoreCase("anguissa")) giocatore.setNomeFSCambiato("Zambo Anguissa");</v>
      </c>
    </row>
    <row r="142" spans="1:7" x14ac:dyDescent="0.35">
      <c r="A142">
        <v>61700</v>
      </c>
      <c r="B142" t="s">
        <v>842</v>
      </c>
      <c r="C142" t="s">
        <v>909</v>
      </c>
      <c r="D142">
        <f>VLOOKUP(1000000+A142,'Quotazioni calciatori'!C:N,12,FALSE)</f>
        <v>5800</v>
      </c>
      <c r="E142" t="str">
        <f>VLOOKUP(D142,'Leghe Fantacalcio'!B:D,3,FALSE)</f>
        <v>Gudmundsson A.</v>
      </c>
      <c r="F142" s="1" t="b">
        <f t="shared" si="4"/>
        <v>0</v>
      </c>
      <c r="G142" t="str">
        <f t="shared" si="5"/>
        <v>if (giocatore.getSquadra().equalsIgnoreCase("Laz") &amp;&amp; giocatore.getNomeFS().equalsIgnoreCase("gudmundsson")) giocatore.setNomeFSCambiato("Gudmundsson A.");</v>
      </c>
    </row>
    <row r="143" spans="1:7" x14ac:dyDescent="0.35">
      <c r="A143">
        <v>66359</v>
      </c>
      <c r="B143" t="s">
        <v>843</v>
      </c>
      <c r="C143" t="s">
        <v>914</v>
      </c>
      <c r="D143">
        <f>VLOOKUP(1000000+A143,'Quotazioni calciatori'!C:N,12,FALSE)</f>
        <v>5172</v>
      </c>
      <c r="E143" t="str">
        <f>VLOOKUP(D143,'Leghe Fantacalcio'!B:D,3,FALSE)</f>
        <v>Jones C.</v>
      </c>
      <c r="F143" s="1" t="b">
        <f t="shared" si="4"/>
        <v>0</v>
      </c>
      <c r="G143" t="str">
        <f t="shared" si="5"/>
        <v>if (giocatore.getSquadra().equalsIgnoreCase("Int") &amp;&amp; giocatore.getNomeFS().equalsIgnoreCase("jones")) giocatore.setNomeFSCambiato("Jones C.");</v>
      </c>
    </row>
    <row r="144" spans="1:7" x14ac:dyDescent="0.35">
      <c r="A144">
        <v>70846</v>
      </c>
      <c r="B144" t="s">
        <v>844</v>
      </c>
      <c r="C144" t="s">
        <v>907</v>
      </c>
      <c r="D144">
        <f>VLOOKUP(1000000+A144,'Quotazioni calciatori'!C:N,12,FALSE)</f>
        <v>5022</v>
      </c>
      <c r="E144" t="str">
        <f>VLOOKUP(D144,'Leghe Fantacalcio'!B:D,3,FALSE)</f>
        <v>Pavlovic</v>
      </c>
      <c r="F144" s="1" t="b">
        <f t="shared" si="4"/>
        <v>1</v>
      </c>
      <c r="G144" t="str">
        <f t="shared" si="5"/>
        <v/>
      </c>
    </row>
    <row r="145" spans="1:7" x14ac:dyDescent="0.35">
      <c r="A145">
        <v>72863</v>
      </c>
      <c r="B145" t="s">
        <v>845</v>
      </c>
      <c r="C145" t="s">
        <v>909</v>
      </c>
      <c r="D145">
        <f>VLOOKUP(1000000+A145,'Quotazioni calciatori'!C:N,12,FALSE)</f>
        <v>5620</v>
      </c>
      <c r="E145" t="str">
        <f>VLOOKUP(D145,'Leghe Fantacalcio'!B:D,3,FALSE)</f>
        <v>Tavares N.</v>
      </c>
      <c r="F145" s="1" t="b">
        <f t="shared" si="4"/>
        <v>0</v>
      </c>
      <c r="G145" t="str">
        <f t="shared" si="5"/>
        <v>if (giocatore.getSquadra().equalsIgnoreCase("Laz") &amp;&amp; giocatore.getNomeFS().equalsIgnoreCase("nuno tavares")) giocatore.setNomeFSCambiato("Tavares N.");</v>
      </c>
    </row>
    <row r="146" spans="1:7" x14ac:dyDescent="0.35">
      <c r="A146">
        <v>37476</v>
      </c>
      <c r="B146" t="s">
        <v>846</v>
      </c>
      <c r="C146" t="s">
        <v>911</v>
      </c>
      <c r="D146">
        <f>VLOOKUP(1000000+A146,'Quotazioni calciatori'!C:N,12,FALSE)</f>
        <v>4263</v>
      </c>
      <c r="E146" t="str">
        <f>VLOOKUP(D146,'Leghe Fantacalcio'!B:D,3,FALSE)</f>
        <v>Kabasele</v>
      </c>
      <c r="F146" s="1" t="b">
        <f t="shared" si="4"/>
        <v>1</v>
      </c>
      <c r="G146" t="str">
        <f t="shared" si="5"/>
        <v/>
      </c>
    </row>
    <row r="147" spans="1:7" x14ac:dyDescent="0.35">
      <c r="A147">
        <v>65752</v>
      </c>
      <c r="B147" t="s">
        <v>847</v>
      </c>
      <c r="C147" t="s">
        <v>911</v>
      </c>
      <c r="D147">
        <f>VLOOKUP(1000000+A147,'Quotazioni calciatori'!C:N,12,FALSE)</f>
        <v>6956</v>
      </c>
      <c r="E147" t="str">
        <f>VLOOKUP(D147,'Leghe Fantacalcio'!B:D,3,FALSE)</f>
        <v>Solet</v>
      </c>
      <c r="F147" s="1" t="b">
        <f t="shared" si="4"/>
        <v>1</v>
      </c>
      <c r="G147" t="str">
        <f t="shared" si="5"/>
        <v/>
      </c>
    </row>
    <row r="148" spans="1:7" x14ac:dyDescent="0.35">
      <c r="A148">
        <v>95960</v>
      </c>
      <c r="B148" t="s">
        <v>848</v>
      </c>
      <c r="C148" t="s">
        <v>909</v>
      </c>
      <c r="D148">
        <f>VLOOKUP(1000000+A148,'Quotazioni calciatori'!C:N,12,FALSE)</f>
        <v>7580</v>
      </c>
      <c r="E148" t="str">
        <f>VLOOKUP(D148,'Leghe Fantacalcio'!B:D,3,FALSE)</f>
        <v>Sutalo J.</v>
      </c>
      <c r="F148" s="1" t="b">
        <f t="shared" si="4"/>
        <v>0</v>
      </c>
      <c r="G148" t="str">
        <f t="shared" si="5"/>
        <v>if (giocatore.getSquadra().equalsIgnoreCase("Laz") &amp;&amp; giocatore.getNomeFS().equalsIgnoreCase("sutalo")) giocatore.setNomeFSCambiato("Sutalo J.");</v>
      </c>
    </row>
    <row r="149" spans="1:7" x14ac:dyDescent="0.35">
      <c r="A149">
        <v>16631</v>
      </c>
      <c r="B149" t="s">
        <v>849</v>
      </c>
      <c r="C149" t="s">
        <v>912</v>
      </c>
      <c r="D149">
        <f>VLOOKUP(1000000+A149,'Quotazioni calciatori'!C:N,12,FALSE)</f>
        <v>2521</v>
      </c>
      <c r="E149" t="str">
        <f>VLOOKUP(D149,'Leghe Fantacalcio'!B:D,3,FALSE)</f>
        <v>De Gea</v>
      </c>
      <c r="F149" s="1" t="b">
        <f t="shared" si="4"/>
        <v>0</v>
      </c>
      <c r="G149" t="str">
        <f t="shared" si="5"/>
        <v>if (giocatore.getSquadra().equalsIgnoreCase("Fio") &amp;&amp; giocatore.getNomeFS().equalsIgnoreCase("david de gea")) giocatore.setNomeFSCambiato("De Gea");</v>
      </c>
    </row>
    <row r="150" spans="1:7" x14ac:dyDescent="0.35">
      <c r="A150">
        <v>38409</v>
      </c>
      <c r="B150" t="s">
        <v>850</v>
      </c>
      <c r="C150" t="s">
        <v>918</v>
      </c>
      <c r="D150">
        <f>VLOOKUP(1000000+A150,'Quotazioni calciatori'!C:N,12,FALSE)</f>
        <v>2134</v>
      </c>
      <c r="E150" t="str">
        <f>VLOOKUP(D150,'Leghe Fantacalcio'!B:D,3,FALSE)</f>
        <v>Falcone</v>
      </c>
      <c r="F150" s="1" t="b">
        <f t="shared" si="4"/>
        <v>1</v>
      </c>
      <c r="G150" t="str">
        <f t="shared" si="5"/>
        <v/>
      </c>
    </row>
    <row r="151" spans="1:7" x14ac:dyDescent="0.35">
      <c r="A151">
        <v>48944</v>
      </c>
      <c r="B151" t="s">
        <v>851</v>
      </c>
      <c r="C151" t="s">
        <v>901</v>
      </c>
      <c r="D151">
        <f>VLOOKUP(1000000+A151,'Quotazioni calciatori'!C:N,12,FALSE)</f>
        <v>610</v>
      </c>
      <c r="E151" t="str">
        <f>VLOOKUP(D151,'Leghe Fantacalcio'!B:D,3,FALSE)</f>
        <v>Gollini</v>
      </c>
      <c r="F151" s="1" t="b">
        <f t="shared" si="4"/>
        <v>1</v>
      </c>
      <c r="G151" t="str">
        <f t="shared" si="5"/>
        <v/>
      </c>
    </row>
    <row r="152" spans="1:7" x14ac:dyDescent="0.35">
      <c r="A152">
        <v>101889</v>
      </c>
      <c r="B152" t="s">
        <v>852</v>
      </c>
      <c r="C152" t="s">
        <v>900</v>
      </c>
      <c r="D152">
        <f>VLOOKUP(1000000+A152,'Quotazioni calciatori'!C:N,12,FALSE)</f>
        <v>4976</v>
      </c>
      <c r="E152" t="str">
        <f>VLOOKUP(D152,'Leghe Fantacalcio'!B:D,3,FALSE)</f>
        <v>Kalulu</v>
      </c>
      <c r="F152" s="1" t="b">
        <f t="shared" si="4"/>
        <v>1</v>
      </c>
      <c r="G152" t="str">
        <f t="shared" si="5"/>
        <v/>
      </c>
    </row>
    <row r="153" spans="1:7" x14ac:dyDescent="0.35">
      <c r="A153">
        <v>119838</v>
      </c>
      <c r="B153" t="s">
        <v>853</v>
      </c>
      <c r="C153" t="s">
        <v>918</v>
      </c>
      <c r="D153">
        <f>VLOOKUP(1000000+A153,'Quotazioni calciatori'!C:N,12,FALSE)</f>
        <v>6989</v>
      </c>
      <c r="E153" t="str">
        <f>VLOOKUP(D153,'Leghe Fantacalcio'!B:D,3,FALSE)</f>
        <v>Tiago Gabriel</v>
      </c>
      <c r="F153" s="1" t="b">
        <f t="shared" si="4"/>
        <v>1</v>
      </c>
      <c r="G153" t="str">
        <f t="shared" si="5"/>
        <v/>
      </c>
    </row>
    <row r="154" spans="1:7" x14ac:dyDescent="0.35">
      <c r="A154">
        <v>110625</v>
      </c>
      <c r="B154" t="s">
        <v>854</v>
      </c>
      <c r="C154" t="s">
        <v>917</v>
      </c>
      <c r="D154">
        <f>VLOOKUP(1000000+A154,'Quotazioni calciatori'!C:N,12,FALSE)</f>
        <v>5701</v>
      </c>
      <c r="E154" t="str">
        <f>VLOOKUP(D154,'Leghe Fantacalcio'!B:D,3,FALSE)</f>
        <v>Obert</v>
      </c>
      <c r="F154" s="1" t="b">
        <f t="shared" si="4"/>
        <v>1</v>
      </c>
      <c r="G154" t="str">
        <f t="shared" si="5"/>
        <v/>
      </c>
    </row>
    <row r="155" spans="1:7" x14ac:dyDescent="0.35">
      <c r="A155">
        <v>58637</v>
      </c>
      <c r="B155" t="s">
        <v>855</v>
      </c>
      <c r="C155" t="s">
        <v>916</v>
      </c>
      <c r="D155">
        <f>VLOOKUP(1000000+A155,'Quotazioni calciatori'!C:N,12,FALSE)</f>
        <v>7472</v>
      </c>
      <c r="E155" t="str">
        <f>VLOOKUP(D155,'Leghe Fantacalcio'!B:D,3,FALSE)</f>
        <v>Calò</v>
      </c>
      <c r="F155" s="1" t="b">
        <f t="shared" si="4"/>
        <v>0</v>
      </c>
      <c r="G155" t="str">
        <f t="shared" si="5"/>
        <v>if (giocatore.getSquadra().equalsIgnoreCase("Fro") &amp;&amp; giocatore.getNomeFS().equalsIgnoreCase("calo")) giocatore.setNomeFSCambiato("Calò");</v>
      </c>
    </row>
    <row r="156" spans="1:7" x14ac:dyDescent="0.35">
      <c r="A156">
        <v>62529</v>
      </c>
      <c r="B156" t="s">
        <v>856</v>
      </c>
      <c r="C156" t="s">
        <v>904</v>
      </c>
      <c r="D156">
        <f>VLOOKUP(1000000+A156,'Quotazioni calciatori'!C:N,12,FALSE)</f>
        <v>4777</v>
      </c>
      <c r="E156" t="str">
        <f>VLOOKUP(D156,'Leghe Fantacalcio'!B:D,3,FALSE)</f>
        <v>McTominay</v>
      </c>
      <c r="F156" s="1" t="b">
        <f t="shared" si="4"/>
        <v>1</v>
      </c>
      <c r="G156" t="str">
        <f t="shared" si="5"/>
        <v/>
      </c>
    </row>
    <row r="157" spans="1:7" x14ac:dyDescent="0.35">
      <c r="A157">
        <v>120328</v>
      </c>
      <c r="B157" t="s">
        <v>857</v>
      </c>
      <c r="C157" t="s">
        <v>904</v>
      </c>
      <c r="D157">
        <f>VLOOKUP(1000000+A157,'Quotazioni calciatori'!C:N,12,FALSE)</f>
        <v>7351</v>
      </c>
      <c r="E157" t="str">
        <f>VLOOKUP(D157,'Leghe Fantacalcio'!B:D,3,FALSE)</f>
        <v>Santos A.</v>
      </c>
      <c r="F157" s="1" t="b">
        <f t="shared" si="4"/>
        <v>0</v>
      </c>
      <c r="G157" t="str">
        <f t="shared" si="5"/>
        <v>if (giocatore.getSquadra().equalsIgnoreCase("Nap") &amp;&amp; giocatore.getNomeFS().equalsIgnoreCase("alisson santos")) giocatore.setNomeFSCambiato("Santos A.");</v>
      </c>
    </row>
    <row r="158" spans="1:7" x14ac:dyDescent="0.35">
      <c r="A158">
        <v>53448</v>
      </c>
      <c r="B158" t="s">
        <v>858</v>
      </c>
      <c r="C158" t="s">
        <v>907</v>
      </c>
      <c r="D158">
        <f>VLOOKUP(1000000+A158,'Quotazioni calciatori'!C:N,12,FALSE)</f>
        <v>2423</v>
      </c>
      <c r="E158" t="str">
        <f>VLOOKUP(D158,'Leghe Fantacalcio'!B:D,3,FALSE)</f>
        <v>Pulisic</v>
      </c>
      <c r="F158" s="1" t="b">
        <f t="shared" si="4"/>
        <v>1</v>
      </c>
      <c r="G158" t="str">
        <f t="shared" si="5"/>
        <v/>
      </c>
    </row>
    <row r="159" spans="1:7" x14ac:dyDescent="0.35">
      <c r="A159">
        <v>61229</v>
      </c>
      <c r="B159" t="s">
        <v>859</v>
      </c>
      <c r="C159" t="s">
        <v>902</v>
      </c>
      <c r="D159">
        <f>VLOOKUP(1000000+A159,'Quotazioni calciatori'!C:N,12,FALSE)</f>
        <v>2097</v>
      </c>
      <c r="E159" t="str">
        <f>VLOOKUP(D159,'Leghe Fantacalcio'!B:D,3,FALSE)</f>
        <v>Kean</v>
      </c>
      <c r="F159" s="1" t="b">
        <f t="shared" si="4"/>
        <v>1</v>
      </c>
      <c r="G159" t="str">
        <f t="shared" si="5"/>
        <v/>
      </c>
    </row>
    <row r="160" spans="1:7" x14ac:dyDescent="0.35">
      <c r="A160">
        <v>96400</v>
      </c>
      <c r="B160" t="s">
        <v>860</v>
      </c>
      <c r="C160" t="s">
        <v>907</v>
      </c>
      <c r="D160">
        <f>VLOOKUP(1000000+A160,'Quotazioni calciatori'!C:N,12,FALSE)</f>
        <v>6397</v>
      </c>
      <c r="E160" t="str">
        <f>VLOOKUP(D160,'Leghe Fantacalcio'!B:D,3,FALSE)</f>
        <v>Ramos G.</v>
      </c>
      <c r="F160" s="1" t="b">
        <f t="shared" si="4"/>
        <v>0</v>
      </c>
      <c r="G160" t="str">
        <f t="shared" si="5"/>
        <v>if (giocatore.getSquadra().equalsIgnoreCase("Mil") &amp;&amp; giocatore.getNomeFS().equalsIgnoreCase("goncalo ramos")) giocatore.setNomeFSCambiato("Ramos G.");</v>
      </c>
    </row>
    <row r="161" spans="1:7" x14ac:dyDescent="0.35">
      <c r="A161">
        <v>66187</v>
      </c>
      <c r="B161" t="s">
        <v>861</v>
      </c>
      <c r="C161" t="s">
        <v>904</v>
      </c>
      <c r="D161">
        <f>VLOOKUP(1000000+A161,'Quotazioni calciatori'!C:N,12,FALSE)</f>
        <v>7120</v>
      </c>
      <c r="E161" t="str">
        <f>VLOOKUP(D161,'Leghe Fantacalcio'!B:D,3,FALSE)</f>
        <v>Lang</v>
      </c>
      <c r="F161" s="1" t="b">
        <f t="shared" si="4"/>
        <v>1</v>
      </c>
      <c r="G161" t="str">
        <f t="shared" si="5"/>
        <v/>
      </c>
    </row>
    <row r="162" spans="1:7" x14ac:dyDescent="0.35">
      <c r="A162">
        <v>111438</v>
      </c>
      <c r="B162" t="s">
        <v>862</v>
      </c>
      <c r="C162" t="s">
        <v>901</v>
      </c>
      <c r="D162">
        <f>VLOOKUP(1000000+A162,'Quotazioni calciatori'!C:N,12,FALSE)</f>
        <v>5734</v>
      </c>
      <c r="E162" t="str">
        <f>VLOOKUP(D162,'Leghe Fantacalcio'!B:D,3,FALSE)</f>
        <v>Soulè</v>
      </c>
      <c r="F162" s="1" t="b">
        <f t="shared" si="4"/>
        <v>0</v>
      </c>
      <c r="G162" t="str">
        <f t="shared" si="5"/>
        <v>if (giocatore.getSquadra().equalsIgnoreCase("Rom") &amp;&amp; giocatore.getNomeFS().equalsIgnoreCase("soule")) giocatore.setNomeFSCambiato("Soulè");</v>
      </c>
    </row>
    <row r="163" spans="1:7" x14ac:dyDescent="0.35">
      <c r="A163">
        <v>66162</v>
      </c>
      <c r="B163" t="s">
        <v>863</v>
      </c>
      <c r="C163" t="s">
        <v>905</v>
      </c>
      <c r="D163">
        <f>VLOOKUP(1000000+A163,'Quotazioni calciatori'!C:N,12,FALSE)</f>
        <v>4371</v>
      </c>
      <c r="E163" t="str">
        <f>VLOOKUP(D163,'Leghe Fantacalcio'!B:D,3,FALSE)</f>
        <v>Raspadori</v>
      </c>
      <c r="F163" s="1" t="b">
        <f t="shared" si="4"/>
        <v>1</v>
      </c>
      <c r="G163" t="str">
        <f t="shared" si="5"/>
        <v/>
      </c>
    </row>
    <row r="164" spans="1:7" x14ac:dyDescent="0.35">
      <c r="A164">
        <v>70458</v>
      </c>
      <c r="B164" t="s">
        <v>864</v>
      </c>
      <c r="C164" t="s">
        <v>913</v>
      </c>
      <c r="D164">
        <f>VLOOKUP(1000000+A164,'Quotazioni calciatori'!C:N,12,FALSE)</f>
        <v>4359</v>
      </c>
      <c r="E164" t="str">
        <f>VLOOKUP(D164,'Leghe Fantacalcio'!B:D,3,FALSE)</f>
        <v>Piccoli</v>
      </c>
      <c r="F164" s="1" t="b">
        <f t="shared" si="4"/>
        <v>1</v>
      </c>
      <c r="G164" t="str">
        <f t="shared" si="5"/>
        <v/>
      </c>
    </row>
    <row r="165" spans="1:7" x14ac:dyDescent="0.35">
      <c r="A165">
        <v>96934</v>
      </c>
      <c r="B165" t="s">
        <v>865</v>
      </c>
      <c r="C165" t="s">
        <v>900</v>
      </c>
      <c r="D165">
        <f>VLOOKUP(1000000+A165,'Quotazioni calciatori'!C:N,12,FALSE)</f>
        <v>5761</v>
      </c>
      <c r="E165" t="str">
        <f>VLOOKUP(D165,'Leghe Fantacalcio'!B:D,3,FALSE)</f>
        <v>Zhegrova</v>
      </c>
      <c r="F165" s="1" t="b">
        <f t="shared" si="4"/>
        <v>1</v>
      </c>
      <c r="G165" t="str">
        <f t="shared" si="5"/>
        <v/>
      </c>
    </row>
    <row r="166" spans="1:7" x14ac:dyDescent="0.35">
      <c r="A166">
        <v>116597</v>
      </c>
      <c r="B166" t="s">
        <v>866</v>
      </c>
      <c r="C166" t="s">
        <v>901</v>
      </c>
      <c r="D166">
        <f>VLOOKUP(1000000+A166,'Quotazioni calciatori'!C:N,12,FALSE)</f>
        <v>6190</v>
      </c>
      <c r="E166" t="str">
        <f>VLOOKUP(D166,'Leghe Fantacalcio'!B:D,3,FALSE)</f>
        <v>Pisilli</v>
      </c>
      <c r="F166" s="1" t="b">
        <f t="shared" si="4"/>
        <v>1</v>
      </c>
      <c r="G166" t="str">
        <f t="shared" si="5"/>
        <v/>
      </c>
    </row>
    <row r="167" spans="1:7" x14ac:dyDescent="0.35">
      <c r="A167">
        <v>95265</v>
      </c>
      <c r="B167" t="s">
        <v>867</v>
      </c>
      <c r="C167" t="s">
        <v>918</v>
      </c>
      <c r="D167">
        <f>VLOOKUP(1000000+A167,'Quotazioni calciatori'!C:N,12,FALSE)</f>
        <v>5504</v>
      </c>
      <c r="E167" t="str">
        <f>VLOOKUP(D167,'Leghe Fantacalcio'!B:D,3,FALSE)</f>
        <v>Coulibaly L.</v>
      </c>
      <c r="F167" s="1" t="b">
        <f t="shared" si="4"/>
        <v>0</v>
      </c>
      <c r="G167" t="str">
        <f t="shared" si="5"/>
        <v>if (giocatore.getSquadra().equalsIgnoreCase("Lec") &amp;&amp; giocatore.getNomeFS().equalsIgnoreCase("coulibaly")) giocatore.setNomeFSCambiato("Coulibaly L.");</v>
      </c>
    </row>
    <row r="168" spans="1:7" x14ac:dyDescent="0.35">
      <c r="A168">
        <v>103752</v>
      </c>
      <c r="B168" t="s">
        <v>868</v>
      </c>
      <c r="C168" t="s">
        <v>912</v>
      </c>
      <c r="D168">
        <f>VLOOKUP(1000000+A168,'Quotazioni calciatori'!C:N,12,FALSE)</f>
        <v>4465</v>
      </c>
      <c r="E168" t="str">
        <f>VLOOKUP(D168,'Leghe Fantacalcio'!B:D,3,FALSE)</f>
        <v>Fagioli</v>
      </c>
      <c r="F168" s="1" t="b">
        <f t="shared" si="4"/>
        <v>1</v>
      </c>
      <c r="G168" t="str">
        <f t="shared" si="5"/>
        <v/>
      </c>
    </row>
    <row r="169" spans="1:7" x14ac:dyDescent="0.35">
      <c r="A169">
        <v>119654</v>
      </c>
      <c r="B169" t="s">
        <v>869</v>
      </c>
      <c r="C169" t="s">
        <v>917</v>
      </c>
      <c r="D169">
        <f>VLOOKUP(1000000+A169,'Quotazioni calciatori'!C:N,12,FALSE)</f>
        <v>7268</v>
      </c>
      <c r="E169" t="str">
        <f>VLOOKUP(D169,'Leghe Fantacalcio'!B:D,3,FALSE)</f>
        <v>Rodriguez Ju.</v>
      </c>
      <c r="F169" s="1" t="b">
        <f t="shared" si="4"/>
        <v>0</v>
      </c>
      <c r="G169" t="str">
        <f t="shared" si="5"/>
        <v>if (giocatore.getSquadra().equalsIgnoreCase("Cag") &amp;&amp; giocatore.getNomeFS().equalsIgnoreCase("rodriguez")) giocatore.setNomeFSCambiato("Rodriguez Ju.");</v>
      </c>
    </row>
    <row r="170" spans="1:7" x14ac:dyDescent="0.35">
      <c r="A170">
        <v>112625</v>
      </c>
      <c r="B170" t="s">
        <v>870</v>
      </c>
      <c r="C170" t="s">
        <v>907</v>
      </c>
      <c r="D170">
        <f>VLOOKUP(1000000+A170,'Quotazioni calciatori'!C:N,12,FALSE)</f>
        <v>5833</v>
      </c>
      <c r="E170" t="str">
        <f>VLOOKUP(D170,'Leghe Fantacalcio'!B:D,3,FALSE)</f>
        <v>Gila</v>
      </c>
      <c r="F170" s="1" t="b">
        <f t="shared" si="4"/>
        <v>0</v>
      </c>
      <c r="G170" t="str">
        <f t="shared" si="5"/>
        <v>if (giocatore.getSquadra().equalsIgnoreCase("Mil") &amp;&amp; giocatore.getNomeFS().equalsIgnoreCase("mario gila")) giocatore.setNomeFSCambiato("Gila");</v>
      </c>
    </row>
    <row r="171" spans="1:7" x14ac:dyDescent="0.35">
      <c r="A171">
        <v>102450</v>
      </c>
      <c r="B171" t="s">
        <v>871</v>
      </c>
      <c r="C171" t="s">
        <v>905</v>
      </c>
      <c r="D171">
        <f>VLOOKUP(1000000+A171,'Quotazioni calciatori'!C:N,12,FALSE)</f>
        <v>7219</v>
      </c>
      <c r="E171" t="str">
        <f>VLOOKUP(D171,'Leghe Fantacalcio'!B:D,3,FALSE)</f>
        <v>Bernasconi</v>
      </c>
      <c r="F171" s="1" t="b">
        <f t="shared" si="4"/>
        <v>1</v>
      </c>
      <c r="G171" t="str">
        <f t="shared" si="5"/>
        <v/>
      </c>
    </row>
    <row r="172" spans="1:7" x14ac:dyDescent="0.35">
      <c r="A172">
        <v>119843</v>
      </c>
      <c r="B172" t="s">
        <v>872</v>
      </c>
      <c r="C172" t="s">
        <v>909</v>
      </c>
      <c r="D172">
        <f>VLOOKUP(1000000+A172,'Quotazioni calciatori'!C:N,12,FALSE)</f>
        <v>7012</v>
      </c>
      <c r="E172" t="str">
        <f>VLOOKUP(D172,'Leghe Fantacalcio'!B:D,3,FALSE)</f>
        <v>Provstgaard</v>
      </c>
      <c r="F172" s="1" t="b">
        <f t="shared" si="4"/>
        <v>0</v>
      </c>
      <c r="G172" t="str">
        <f t="shared" si="5"/>
        <v>if (giocatore.getSquadra().equalsIgnoreCase("Laz") &amp;&amp; giocatore.getNomeFS().equalsIgnoreCase("provstgaard nielsen")) giocatore.setNomeFSCambiato("Provstgaard");</v>
      </c>
    </row>
    <row r="173" spans="1:7" x14ac:dyDescent="0.35">
      <c r="A173">
        <v>60457</v>
      </c>
      <c r="B173" t="s">
        <v>873</v>
      </c>
      <c r="C173" t="s">
        <v>901</v>
      </c>
      <c r="D173">
        <f>VLOOKUP(1000000+A173,'Quotazioni calciatori'!C:N,12,FALSE)</f>
        <v>5841</v>
      </c>
      <c r="E173" t="str">
        <f>VLOOKUP(D173,'Leghe Fantacalcio'!B:D,3,FALSE)</f>
        <v>Svilar</v>
      </c>
      <c r="F173" s="1" t="b">
        <f t="shared" si="4"/>
        <v>1</v>
      </c>
      <c r="G173" t="str">
        <f t="shared" si="5"/>
        <v/>
      </c>
    </row>
    <row r="174" spans="1:7" x14ac:dyDescent="0.35">
      <c r="A174">
        <v>38871</v>
      </c>
      <c r="B174" t="s">
        <v>874</v>
      </c>
      <c r="C174" t="s">
        <v>913</v>
      </c>
      <c r="D174">
        <f>VLOOKUP(1000000+A174,'Quotazioni calciatori'!C:N,12,FALSE)</f>
        <v>133</v>
      </c>
      <c r="E174" t="str">
        <f>VLOOKUP(D174,'Leghe Fantacalcio'!B:D,3,FALSE)</f>
        <v>Skorupski</v>
      </c>
      <c r="F174" s="1" t="b">
        <f t="shared" si="4"/>
        <v>1</v>
      </c>
      <c r="G174" t="str">
        <f t="shared" si="5"/>
        <v/>
      </c>
    </row>
    <row r="175" spans="1:7" x14ac:dyDescent="0.35">
      <c r="A175">
        <v>118319</v>
      </c>
      <c r="B175" t="s">
        <v>875</v>
      </c>
      <c r="C175" t="s">
        <v>909</v>
      </c>
      <c r="D175">
        <f>VLOOKUP(1000000+A175,'Quotazioni calciatori'!C:N,12,FALSE)</f>
        <v>6482</v>
      </c>
      <c r="E175" t="str">
        <f>VLOOKUP(D175,'Leghe Fantacalcio'!B:D,3,FALSE)</f>
        <v>Mandas</v>
      </c>
      <c r="F175" s="1" t="b">
        <f t="shared" si="4"/>
        <v>1</v>
      </c>
      <c r="G175" t="str">
        <f t="shared" si="5"/>
        <v/>
      </c>
    </row>
    <row r="176" spans="1:7" x14ac:dyDescent="0.35">
      <c r="A176">
        <v>117151</v>
      </c>
      <c r="B176" t="s">
        <v>876</v>
      </c>
      <c r="C176" t="s">
        <v>914</v>
      </c>
      <c r="D176">
        <f>VLOOKUP(1000000+A176,'Quotazioni calciatori'!C:N,12,FALSE)</f>
        <v>6217</v>
      </c>
      <c r="E176" t="str">
        <f>VLOOKUP(D176,'Leghe Fantacalcio'!B:D,3,FALSE)</f>
        <v>Bisseck</v>
      </c>
      <c r="F176" s="1" t="b">
        <f t="shared" si="4"/>
        <v>1</v>
      </c>
      <c r="G176" t="str">
        <f t="shared" si="5"/>
        <v/>
      </c>
    </row>
    <row r="177" spans="1:7" x14ac:dyDescent="0.35">
      <c r="A177">
        <v>20809</v>
      </c>
      <c r="B177" t="s">
        <v>877</v>
      </c>
      <c r="C177" t="s">
        <v>904</v>
      </c>
      <c r="D177">
        <f>VLOOKUP(1000000+A177,'Quotazioni calciatori'!C:N,12,FALSE)</f>
        <v>2816</v>
      </c>
      <c r="E177" t="str">
        <f>VLOOKUP(D177,'Leghe Fantacalcio'!B:D,3,FALSE)</f>
        <v>Di Lorenzo</v>
      </c>
      <c r="F177" s="1" t="b">
        <f t="shared" si="4"/>
        <v>1</v>
      </c>
      <c r="G177" t="str">
        <f t="shared" si="5"/>
        <v/>
      </c>
    </row>
    <row r="178" spans="1:7" x14ac:dyDescent="0.35">
      <c r="A178">
        <v>49778</v>
      </c>
      <c r="B178" t="s">
        <v>878</v>
      </c>
      <c r="C178" t="s">
        <v>914</v>
      </c>
      <c r="D178">
        <f>VLOOKUP(1000000+A178,'Quotazioni calciatori'!C:N,12,FALSE)</f>
        <v>254</v>
      </c>
      <c r="E178" t="str">
        <f>VLOOKUP(D178,'Leghe Fantacalcio'!B:D,3,FALSE)</f>
        <v>Dimarco</v>
      </c>
      <c r="F178" s="1" t="b">
        <f t="shared" si="4"/>
        <v>1</v>
      </c>
      <c r="G178" t="str">
        <f t="shared" si="5"/>
        <v/>
      </c>
    </row>
    <row r="179" spans="1:7" x14ac:dyDescent="0.35">
      <c r="A179">
        <v>63346</v>
      </c>
      <c r="B179" t="s">
        <v>879</v>
      </c>
      <c r="C179" t="s">
        <v>901</v>
      </c>
      <c r="D179">
        <f>VLOOKUP(1000000+A179,'Quotazioni calciatori'!C:N,12,FALSE)</f>
        <v>4807</v>
      </c>
      <c r="E179" t="str">
        <f>VLOOKUP(D179,'Leghe Fantacalcio'!B:D,3,FALSE)</f>
        <v>Hermoso</v>
      </c>
      <c r="F179" s="1" t="b">
        <f t="shared" si="4"/>
        <v>0</v>
      </c>
      <c r="G179" t="str">
        <f t="shared" si="5"/>
        <v>if (giocatore.getSquadra().equalsIgnoreCase("Rom") &amp;&amp; giocatore.getNomeFS().equalsIgnoreCase("mario hermoso")) giocatore.setNomeFSCambiato("Hermoso");</v>
      </c>
    </row>
    <row r="180" spans="1:7" x14ac:dyDescent="0.35">
      <c r="A180">
        <v>46949</v>
      </c>
      <c r="B180" t="s">
        <v>880</v>
      </c>
      <c r="C180" t="s">
        <v>899</v>
      </c>
      <c r="D180">
        <f>VLOOKUP(1000000+A180,'Quotazioni calciatori'!C:N,12,FALSE)</f>
        <v>5687</v>
      </c>
      <c r="E180" t="str">
        <f>VLOOKUP(D180,'Leghe Fantacalcio'!B:D,3,FALSE)</f>
        <v>Vlasic</v>
      </c>
      <c r="F180" s="1" t="b">
        <f t="shared" si="4"/>
        <v>1</v>
      </c>
      <c r="G180" t="str">
        <f t="shared" si="5"/>
        <v/>
      </c>
    </row>
    <row r="181" spans="1:7" x14ac:dyDescent="0.35">
      <c r="A181">
        <v>42724</v>
      </c>
      <c r="B181" t="s">
        <v>881</v>
      </c>
      <c r="C181" t="s">
        <v>914</v>
      </c>
      <c r="D181">
        <f>VLOOKUP(1000000+A181,'Quotazioni calciatori'!C:N,12,FALSE)</f>
        <v>2194</v>
      </c>
      <c r="E181" t="str">
        <f>VLOOKUP(D181,'Leghe Fantacalcio'!B:D,3,FALSE)</f>
        <v>Calhanoglu</v>
      </c>
      <c r="F181" s="1" t="b">
        <f t="shared" si="4"/>
        <v>1</v>
      </c>
      <c r="G181" t="str">
        <f t="shared" si="5"/>
        <v/>
      </c>
    </row>
    <row r="182" spans="1:7" x14ac:dyDescent="0.35">
      <c r="A182">
        <v>102896</v>
      </c>
      <c r="B182" t="s">
        <v>882</v>
      </c>
      <c r="C182" t="s">
        <v>914</v>
      </c>
      <c r="D182">
        <f>VLOOKUP(1000000+A182,'Quotazioni calciatori'!C:N,12,FALSE)</f>
        <v>7070</v>
      </c>
      <c r="E182" t="str">
        <f>VLOOKUP(D182,'Leghe Fantacalcio'!B:D,3,FALSE)</f>
        <v>Sucic P.</v>
      </c>
      <c r="F182" s="1" t="b">
        <f t="shared" si="4"/>
        <v>0</v>
      </c>
      <c r="G182" t="str">
        <f t="shared" si="5"/>
        <v>if (giocatore.getSquadra().equalsIgnoreCase("Int") &amp;&amp; giocatore.getNomeFS().equalsIgnoreCase("sucic")) giocatore.setNomeFSCambiato("Sucic P.");</v>
      </c>
    </row>
    <row r="183" spans="1:7" x14ac:dyDescent="0.35">
      <c r="A183">
        <v>66238</v>
      </c>
      <c r="B183" t="s">
        <v>883</v>
      </c>
      <c r="C183" t="s">
        <v>910</v>
      </c>
      <c r="D183">
        <f>VLOOKUP(1000000+A183,'Quotazioni calciatori'!C:N,12,FALSE)</f>
        <v>7600</v>
      </c>
      <c r="E183" t="str">
        <f>VLOOKUP(D183,'Leghe Fantacalcio'!B:D,3,FALSE)</f>
        <v>Osmajic</v>
      </c>
      <c r="F183" s="1" t="b">
        <f t="shared" si="4"/>
        <v>1</v>
      </c>
      <c r="G183" t="str">
        <f t="shared" si="5"/>
        <v/>
      </c>
    </row>
    <row r="184" spans="1:7" x14ac:dyDescent="0.35">
      <c r="A184">
        <v>102053</v>
      </c>
      <c r="B184" t="s">
        <v>884</v>
      </c>
      <c r="C184" t="s">
        <v>913</v>
      </c>
      <c r="D184">
        <f>VLOOKUP(1000000+A184,'Quotazioni calciatori'!C:N,12,FALSE)</f>
        <v>4436</v>
      </c>
      <c r="E184" t="str">
        <f>VLOOKUP(D184,'Leghe Fantacalcio'!B:D,3,FALSE)</f>
        <v>Cambiaghi</v>
      </c>
      <c r="F184" s="1" t="b">
        <f t="shared" si="4"/>
        <v>1</v>
      </c>
      <c r="G184" t="str">
        <f t="shared" si="5"/>
        <v/>
      </c>
    </row>
    <row r="185" spans="1:7" x14ac:dyDescent="0.35">
      <c r="A185">
        <v>71896</v>
      </c>
      <c r="B185" t="s">
        <v>885</v>
      </c>
      <c r="C185" t="s">
        <v>899</v>
      </c>
      <c r="D185">
        <f>VLOOKUP(1000000+A185,'Quotazioni calciatori'!C:N,12,FALSE)</f>
        <v>6646</v>
      </c>
      <c r="E185" t="str">
        <f>VLOOKUP(D185,'Leghe Fantacalcio'!B:D,3,FALSE)</f>
        <v>Adams C.</v>
      </c>
      <c r="F185" s="1" t="b">
        <f t="shared" si="4"/>
        <v>0</v>
      </c>
      <c r="G185" t="str">
        <f t="shared" si="5"/>
        <v>if (giocatore.getSquadra().equalsIgnoreCase("Tor") &amp;&amp; giocatore.getNomeFS().equalsIgnoreCase("adams")) giocatore.setNomeFSCambiato("Adams C.");</v>
      </c>
    </row>
    <row r="186" spans="1:7" x14ac:dyDescent="0.35">
      <c r="A186">
        <v>118164</v>
      </c>
      <c r="B186" t="s">
        <v>886</v>
      </c>
      <c r="C186" t="s">
        <v>909</v>
      </c>
      <c r="D186">
        <f>VLOOKUP(1000000+A186,'Quotazioni calciatori'!C:N,12,FALSE)</f>
        <v>7337</v>
      </c>
      <c r="E186" t="str">
        <f>VLOOKUP(D186,'Leghe Fantacalcio'!B:D,3,FALSE)</f>
        <v>Motta</v>
      </c>
      <c r="F186" s="1" t="b">
        <f t="shared" si="4"/>
        <v>1</v>
      </c>
      <c r="G186" t="str">
        <f t="shared" si="5"/>
        <v/>
      </c>
    </row>
    <row r="187" spans="1:7" x14ac:dyDescent="0.35">
      <c r="A187">
        <v>116485</v>
      </c>
      <c r="B187" t="s">
        <v>887</v>
      </c>
      <c r="C187" t="s">
        <v>909</v>
      </c>
      <c r="D187">
        <f>VLOOKUP(1000000+A187,'Quotazioni calciatori'!C:N,12,FALSE)</f>
        <v>7534</v>
      </c>
      <c r="E187" t="str">
        <f>VLOOKUP(D187,'Leghe Fantacalcio'!B:D,3,FALSE)</f>
        <v>Renzetti</v>
      </c>
      <c r="F187" s="1" t="b">
        <f t="shared" si="4"/>
        <v>1</v>
      </c>
      <c r="G187" t="str">
        <f t="shared" si="5"/>
        <v/>
      </c>
    </row>
    <row r="188" spans="1:7" x14ac:dyDescent="0.35">
      <c r="A188">
        <v>61306</v>
      </c>
      <c r="B188" t="s">
        <v>888</v>
      </c>
      <c r="C188" t="s">
        <v>914</v>
      </c>
      <c r="D188">
        <f>VLOOKUP(1000000+A188,'Quotazioni calciatori'!C:N,12,FALSE)</f>
        <v>2120</v>
      </c>
      <c r="E188" t="str">
        <f>VLOOKUP(D188,'Leghe Fantacalcio'!B:D,3,FALSE)</f>
        <v>Bastoni</v>
      </c>
      <c r="F188" s="1" t="b">
        <f t="shared" si="4"/>
        <v>1</v>
      </c>
      <c r="G188" t="str">
        <f t="shared" si="5"/>
        <v/>
      </c>
    </row>
    <row r="189" spans="1:7" x14ac:dyDescent="0.35">
      <c r="A189">
        <v>69996</v>
      </c>
      <c r="B189" t="s">
        <v>889</v>
      </c>
      <c r="C189" t="s">
        <v>904</v>
      </c>
      <c r="D189">
        <f>VLOOKUP(1000000+A189,'Quotazioni calciatori'!C:N,12,FALSE)</f>
        <v>4664</v>
      </c>
      <c r="E189" t="str">
        <f>VLOOKUP(D189,'Leghe Fantacalcio'!B:D,3,FALSE)</f>
        <v>Badiashile</v>
      </c>
      <c r="F189" s="1" t="b">
        <f t="shared" si="4"/>
        <v>1</v>
      </c>
      <c r="G189" t="str">
        <f t="shared" si="5"/>
        <v/>
      </c>
    </row>
    <row r="190" spans="1:7" x14ac:dyDescent="0.35">
      <c r="A190">
        <v>102058</v>
      </c>
      <c r="B190" t="s">
        <v>890</v>
      </c>
      <c r="C190" t="s">
        <v>914</v>
      </c>
      <c r="D190">
        <f>VLOOKUP(1000000+A190,'Quotazioni calciatori'!C:N,12,FALSE)</f>
        <v>5877</v>
      </c>
      <c r="E190" t="str">
        <f>VLOOKUP(D190,'Leghe Fantacalcio'!B:D,3,FALSE)</f>
        <v>Carlos Augusto</v>
      </c>
      <c r="F190" s="1" t="b">
        <f t="shared" si="4"/>
        <v>1</v>
      </c>
      <c r="G190" t="str">
        <f t="shared" si="5"/>
        <v/>
      </c>
    </row>
    <row r="191" spans="1:7" x14ac:dyDescent="0.35">
      <c r="A191">
        <v>102886</v>
      </c>
      <c r="B191" t="s">
        <v>891</v>
      </c>
      <c r="C191" t="s">
        <v>905</v>
      </c>
      <c r="D191">
        <f>VLOOKUP(1000000+A191,'Quotazioni calciatori'!C:N,12,FALSE)</f>
        <v>5526</v>
      </c>
      <c r="E191" t="str">
        <f>VLOOKUP(D191,'Leghe Fantacalcio'!B:D,3,FALSE)</f>
        <v>Scalvini</v>
      </c>
      <c r="F191" s="1" t="b">
        <f t="shared" si="4"/>
        <v>1</v>
      </c>
      <c r="G191" t="str">
        <f t="shared" si="5"/>
        <v/>
      </c>
    </row>
    <row r="192" spans="1:7" x14ac:dyDescent="0.35">
      <c r="A192">
        <v>67792</v>
      </c>
      <c r="B192" t="s">
        <v>892</v>
      </c>
      <c r="C192" t="s">
        <v>905</v>
      </c>
      <c r="D192">
        <f>VLOOKUP(1000000+A192,'Quotazioni calciatori'!C:N,12,FALSE)</f>
        <v>4364</v>
      </c>
      <c r="E192" t="str">
        <f>VLOOKUP(D192,'Leghe Fantacalcio'!B:D,3,FALSE)</f>
        <v>Gaetano</v>
      </c>
      <c r="F192" s="1" t="b">
        <f t="shared" si="4"/>
        <v>1</v>
      </c>
      <c r="G192" t="str">
        <f t="shared" si="5"/>
        <v/>
      </c>
    </row>
    <row r="193" spans="1:7" x14ac:dyDescent="0.35">
      <c r="A193">
        <v>49183</v>
      </c>
      <c r="B193" t="s">
        <v>893</v>
      </c>
      <c r="C193" t="s">
        <v>899</v>
      </c>
      <c r="D193">
        <f>VLOOKUP(1000000+A193,'Quotazioni calciatori'!C:N,12,FALSE)</f>
        <v>1933</v>
      </c>
      <c r="E193" t="str">
        <f>VLOOKUP(D193,'Leghe Fantacalcio'!B:D,3,FALSE)</f>
        <v>Mandragora</v>
      </c>
      <c r="F193" s="1" t="b">
        <f t="shared" si="4"/>
        <v>1</v>
      </c>
      <c r="G193" t="str">
        <f t="shared" si="5"/>
        <v/>
      </c>
    </row>
    <row r="194" spans="1:7" x14ac:dyDescent="0.35">
      <c r="A194">
        <v>40864</v>
      </c>
      <c r="B194" t="s">
        <v>894</v>
      </c>
      <c r="C194" t="s">
        <v>904</v>
      </c>
      <c r="D194">
        <f>VLOOKUP(1000000+A194,'Quotazioni calciatori'!C:N,12,FALSE)</f>
        <v>536</v>
      </c>
      <c r="E194" t="str">
        <f>VLOOKUP(D194,'Leghe Fantacalcio'!B:D,3,FALSE)</f>
        <v>Politano</v>
      </c>
      <c r="F194" s="1" t="b">
        <f t="shared" si="4"/>
        <v>1</v>
      </c>
      <c r="G194" t="str">
        <f t="shared" si="5"/>
        <v/>
      </c>
    </row>
    <row r="195" spans="1:7" x14ac:dyDescent="0.35">
      <c r="A195">
        <v>116309</v>
      </c>
      <c r="B195" t="s">
        <v>895</v>
      </c>
      <c r="C195" t="s">
        <v>902</v>
      </c>
      <c r="D195">
        <f>VLOOKUP(1000000+A195,'Quotazioni calciatori'!C:N,12,FALSE)</f>
        <v>6151</v>
      </c>
      <c r="E195" t="str">
        <f>VLOOKUP(D195,'Leghe Fantacalcio'!B:D,3,FALSE)</f>
        <v>Perrone</v>
      </c>
      <c r="F195" s="1" t="b">
        <f t="shared" ref="F195:F198" si="6">EXACT(UPPER(B195),UPPER(E195))</f>
        <v>1</v>
      </c>
      <c r="G195" t="str">
        <f t="shared" ref="G195:G198" si="7">IF(F195,"",CONCATENATE("if (giocatore.getSquadra().equalsIgnoreCase(""",C195,""") &amp;&amp; giocatore.getNomeFS().equalsIgnoreCase(""",B195,""")) giocatore.setNomeFSCambiato(""",E195,""");"))</f>
        <v/>
      </c>
    </row>
    <row r="196" spans="1:7" x14ac:dyDescent="0.35">
      <c r="A196">
        <v>95165</v>
      </c>
      <c r="B196" t="s">
        <v>896</v>
      </c>
      <c r="C196" t="s">
        <v>910</v>
      </c>
      <c r="D196">
        <f>VLOOKUP(1000000+A196,'Quotazioni calciatori'!C:N,12,FALSE)</f>
        <v>4923</v>
      </c>
      <c r="E196" t="str">
        <f>VLOOKUP(D196,'Leghe Fantacalcio'!B:D,3,FALSE)</f>
        <v>Colombo</v>
      </c>
      <c r="F196" s="1" t="b">
        <f t="shared" si="6"/>
        <v>1</v>
      </c>
      <c r="G196" t="str">
        <f t="shared" si="7"/>
        <v/>
      </c>
    </row>
    <row r="197" spans="1:7" x14ac:dyDescent="0.35">
      <c r="A197">
        <v>95132</v>
      </c>
      <c r="B197" t="s">
        <v>897</v>
      </c>
      <c r="C197" t="s">
        <v>900</v>
      </c>
      <c r="D197">
        <f>VLOOKUP(1000000+A197,'Quotazioni calciatori'!C:N,12,FALSE)</f>
        <v>4179</v>
      </c>
      <c r="E197" t="str">
        <f>VLOOKUP(D197,'Leghe Fantacalcio'!B:D,3,FALSE)</f>
        <v>Gonzalez N.</v>
      </c>
      <c r="F197" s="1" t="b">
        <f t="shared" si="6"/>
        <v>0</v>
      </c>
      <c r="G197" t="str">
        <f t="shared" si="7"/>
        <v>if (giocatore.getSquadra().equalsIgnoreCase("Juv") &amp;&amp; giocatore.getNomeFS().equalsIgnoreCase("gonzalez")) giocatore.setNomeFSCambiato("Gonzalez N.");</v>
      </c>
    </row>
    <row r="198" spans="1:7" x14ac:dyDescent="0.35">
      <c r="A198">
        <v>67777</v>
      </c>
      <c r="B198" t="s">
        <v>898</v>
      </c>
      <c r="C198" t="s">
        <v>914</v>
      </c>
      <c r="D198">
        <f>VLOOKUP(1000000+A198,'Quotazioni calciatori'!C:N,12,FALSE)</f>
        <v>2764</v>
      </c>
      <c r="E198" t="str">
        <f>VLOOKUP(D198,'Leghe Fantacalcio'!B:D,3,FALSE)</f>
        <v>Martinez L.</v>
      </c>
      <c r="F198" s="1" t="b">
        <f t="shared" si="6"/>
        <v>0</v>
      </c>
      <c r="G198" t="str">
        <f t="shared" si="7"/>
        <v>if (giocatore.getSquadra().equalsIgnoreCase("Int") &amp;&amp; giocatore.getNomeFS().equalsIgnoreCase("martinez")) giocatore.setNomeFSCambiato("Martinez L.");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2378f6b-f1b0-4815-a8da-8a787c8cf5d3}" enabled="1" method="Privileged" siteId="{028226e0-99ea-4fab-9d1b-daa440c9e2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Quotazioni calciatori</vt:lpstr>
      <vt:lpstr>Leghe Fantacalcio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Carlucci Daniele</cp:lastModifiedBy>
  <dcterms:modified xsi:type="dcterms:W3CDTF">2026-10-18T17:37:47Z</dcterms:modified>
</cp:coreProperties>
</file>